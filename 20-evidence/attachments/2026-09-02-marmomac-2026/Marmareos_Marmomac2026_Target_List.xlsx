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Marmomac 2026" sheetId="1" state="visible" r:id="rId1"/>
    <sheet xmlns:r="http://schemas.openxmlformats.org/officeDocument/2006/relationships" name="Dettagli &amp; fonti" sheetId="2" state="visible" r:id="rId2"/>
    <sheet xmlns:r="http://schemas.openxmlformats.org/officeDocument/2006/relationships" name="Riepilogo" sheetId="3" state="visible" r:id="rId3"/>
  </sheets>
  <definedNames>
    <definedName name="_xlnm._FilterDatabase" localSheetId="0" hidden="1">'Target Marmomac 2026'!$A$1:$D$79</definedName>
    <definedName name="_xlnm._FilterDatabase" localSheetId="1" hidden="1">'Dettagli &amp; fonti'!$A$1:$F$79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51918"/>
      </patternFill>
    </fill>
    <fill>
      <patternFill patternType="solid">
        <fgColor rgb="00E8F1E8"/>
      </patternFill>
    </fill>
    <fill>
      <patternFill patternType="solid">
        <fgColor rgb="00EEF2F8"/>
      </patternFill>
    </fill>
    <fill>
      <patternFill patternType="solid">
        <fgColor rgb="00FAF0EC"/>
      </patternFill>
    </fill>
  </fills>
  <borders count="2">
    <border>
      <left/>
      <right/>
      <top/>
      <bottom/>
      <diagonal/>
    </border>
    <border>
      <left style="thin">
        <color rgb="00DDD5CA"/>
      </left>
      <right style="thin">
        <color rgb="00DDD5CA"/>
      </right>
      <top style="thin">
        <color rgb="00DDD5CA"/>
      </top>
      <bottom style="thin">
        <color rgb="00DDD5C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rmomac.com/en/exhibitor/cultural-exhibitions-marmomac-2026/" TargetMode="External" Id="rId1"/><Relationship Type="http://schemas.openxmlformats.org/officeDocument/2006/relationships/hyperlink" Target="https://www.stone-ideas.com/117027/marmomac-2025-natural-stone-influencers/" TargetMode="External" Id="rId2"/><Relationship Type="http://schemas.openxmlformats.org/officeDocument/2006/relationships/hyperlink" Target="https://www.marmomac.com/en/exhibitor/cultural-exhibitions-marmomac-2026/" TargetMode="External" Id="rId3"/><Relationship Type="http://schemas.openxmlformats.org/officeDocument/2006/relationships/hyperlink" Target="https://www.stonenews.eu/daily-don-t-miss-the-best-of-marmomac/" TargetMode="External" Id="rId4"/><Relationship Type="http://schemas.openxmlformats.org/officeDocument/2006/relationships/hyperlink" Target="https://www.stonenews.eu/daily-don-t-miss-the-best-of-marmomac/" TargetMode="External" Id="rId5"/><Relationship Type="http://schemas.openxmlformats.org/officeDocument/2006/relationships/hyperlink" Target="https://www.bureau.ac/lecture-slash-verona-slash-the-soul-of-stone/" TargetMode="External" Id="rId6"/><Relationship Type="http://schemas.openxmlformats.org/officeDocument/2006/relationships/hyperlink" Target="https://www.ifdm.design/2024/09/19/" TargetMode="External" Id="rId7"/><Relationship Type="http://schemas.openxmlformats.org/officeDocument/2006/relationships/hyperlink" Target="https://www.platformarchitecture.it/" TargetMode="External" Id="rId8"/><Relationship Type="http://schemas.openxmlformats.org/officeDocument/2006/relationships/hyperlink" Target="https://www.ifdm.design/2026/07/30/beyond-material-marmomac-at-60/" TargetMode="External" Id="rId9"/><Relationship Type="http://schemas.openxmlformats.org/officeDocument/2006/relationships/hyperlink" Target="https://www.stonenews.eu/daily-don-t-miss-the-best-of-marmomac/" TargetMode="External" Id="rId10"/><Relationship Type="http://schemas.openxmlformats.org/officeDocument/2006/relationships/hyperlink" Target="https://www.stone-ideas.com/115216/marmomac-meets-academies-la-foresta-incantata/" TargetMode="External" Id="rId11"/><Relationship Type="http://schemas.openxmlformats.org/officeDocument/2006/relationships/hyperlink" Target="https://www.stonenews.eu/daily-don-t-miss-the-best-of-marmomac/" TargetMode="External" Id="rId12"/><Relationship Type="http://schemas.openxmlformats.org/officeDocument/2006/relationships/hyperlink" Target="https://www.nenmar.com/studio/" TargetMode="External" Id="rId13"/><Relationship Type="http://schemas.openxmlformats.org/officeDocument/2006/relationships/hyperlink" Target="https://www.ifdm.design/2026/07/30/beyond-material-marmomac-at-60/" TargetMode="External" Id="rId14"/><Relationship Type="http://schemas.openxmlformats.org/officeDocument/2006/relationships/hyperlink" Target="https://www.dedalominosse.org/ita/2025_eventi.php" TargetMode="External" Id="rId15"/><Relationship Type="http://schemas.openxmlformats.org/officeDocument/2006/relationships/hyperlink" Target="https://www.marmomac.com/en/the-italian-stone-theatre-en/architects-and-designers/" TargetMode="External" Id="rId16"/><Relationship Type="http://schemas.openxmlformats.org/officeDocument/2006/relationships/hyperlink" Target="https://www.stone-ideas.com/115216/marmomac-meets-academies-la-foresta-incantata/" TargetMode="External" Id="rId17"/><Relationship Type="http://schemas.openxmlformats.org/officeDocument/2006/relationships/hyperlink" Target="https://www.stone-ideas.com/115216/marmomac-meets-academies-la-foresta-incantata/" TargetMode="External" Id="rId18"/><Relationship Type="http://schemas.openxmlformats.org/officeDocument/2006/relationships/hyperlink" Target="https://www.stoneworld.com/articles/94149-international-designers-" TargetMode="External" Id="rId19"/><Relationship Type="http://schemas.openxmlformats.org/officeDocument/2006/relationships/hyperlink" Target="https://www.mediakey.it/" TargetMode="External" Id="rId20"/><Relationship Type="http://schemas.openxmlformats.org/officeDocument/2006/relationships/hyperlink" Target="https://www.archiproducts.com/it/notizie/premio-dedalo-minosse-2025-" TargetMode="External" Id="rId21"/><Relationship Type="http://schemas.openxmlformats.org/officeDocument/2006/relationships/hyperlink" Target="https://www.platformarchitecture.it/" TargetMode="External" Id="rId22"/><Relationship Type="http://schemas.openxmlformats.org/officeDocument/2006/relationships/hyperlink" Target="https://drylayout.com/articles/elenco-espositori-marmomac-2022" TargetMode="External" Id="rId23"/><Relationship Type="http://schemas.openxmlformats.org/officeDocument/2006/relationships/hyperlink" Target="https://www.mz-consulting.org/news/2117/" TargetMode="External" Id="rId24"/><Relationship Type="http://schemas.openxmlformats.org/officeDocument/2006/relationships/hyperlink" Target="https://www.platformarchitecture.it/la-cultura-del-marmo-a-marmomac-2023/" TargetMode="External" Id="rId25"/><Relationship Type="http://schemas.openxmlformats.org/officeDocument/2006/relationships/hyperlink" Target="https://www.stoneline.co.uk/marmomac/" TargetMode="External" Id="rId26"/><Relationship Type="http://schemas.openxmlformats.org/officeDocument/2006/relationships/hyperlink" Target="https://www.marmomacchineinternational.com/en/confindustria-marmomacchine-a-marmomac-2025/" TargetMode="External" Id="rId27"/><Relationship Type="http://schemas.openxmlformats.org/officeDocument/2006/relationships/hyperlink" Target="https://www.focuspiedra.com/donatoni-celebrara-una-semana-de-puertas-abiertas-en-su-sede-del-21-al-26-de-septiembre/" TargetMode="External" Id="rId28"/><Relationship Type="http://schemas.openxmlformats.org/officeDocument/2006/relationships/hyperlink" Target="https://www.elledecoration.co.uk/" TargetMode="External" Id="rId29"/><Relationship Type="http://schemas.openxmlformats.org/officeDocument/2006/relationships/hyperlink" Target="https://www.aefi.it/it/news/pietra-naturale-con-marmomac-2024-obiettivo-stati-uniti/" TargetMode="External" Id="rId30"/><Relationship Type="http://schemas.openxmlformats.org/officeDocument/2006/relationships/hyperlink" Target="https://www.platformarchitecture.it/marmomac-2024/?lang=en" TargetMode="External" Id="rId31"/><Relationship Type="http://schemas.openxmlformats.org/officeDocument/2006/relationships/hyperlink" Target="https://www.focuspiedra.com/" TargetMode="External" Id="rId32"/><Relationship Type="http://schemas.openxmlformats.org/officeDocument/2006/relationships/hyperlink" Target="https://marmomacplus.com/en/companies" TargetMode="External" Id="rId33"/><Relationship Type="http://schemas.openxmlformats.org/officeDocument/2006/relationships/hyperlink" Target="https://www.marmomac.com/en/exhibitor/cultural-exhibitions-marmomac-2026/" TargetMode="External" Id="rId34"/><Relationship Type="http://schemas.openxmlformats.org/officeDocument/2006/relationships/hyperlink" Target="https://www.marmomac.com/en/events/the-plus-theatre/" TargetMode="External" Id="rId35"/><Relationship Type="http://schemas.openxmlformats.org/officeDocument/2006/relationships/hyperlink" Target="https://www.breton.it/en_na/news-and-events/marmomac" TargetMode="External" Id="rId36"/><Relationship Type="http://schemas.openxmlformats.org/officeDocument/2006/relationships/hyperlink" Target="https://www.ddxgroup.com/en/2025/10/10/ddx-at-marmomac-2025-our-experience-at-the-fair/" TargetMode="External" Id="rId37"/><Relationship Type="http://schemas.openxmlformats.org/officeDocument/2006/relationships/hyperlink" Target="https://www.dedalominosse.org/ita/2025_eventi.php" TargetMode="External" Id="rId38"/><Relationship Type="http://schemas.openxmlformats.org/officeDocument/2006/relationships/hyperlink" Target="https://marmomacplus.com/en/companies" TargetMode="External" Id="rId39"/><Relationship Type="http://schemas.openxmlformats.org/officeDocument/2006/relationships/hyperlink" Target="https://marmomacplus.com/en/companies" TargetMode="External" Id="rId40"/><Relationship Type="http://schemas.openxmlformats.org/officeDocument/2006/relationships/hyperlink" Target="https://www.prodim-systems.com/prodim/exhibitions/prodim-exhibiting-at-marmomac-2026/" TargetMode="External" Id="rId41"/><Relationship Type="http://schemas.openxmlformats.org/officeDocument/2006/relationships/hyperlink" Target="https://www.thibaut.fr/en/marmomac-2025-verona/" TargetMode="External" Id="rId42"/><Relationship Type="http://schemas.openxmlformats.org/officeDocument/2006/relationships/hyperlink" Target="https://www.filasolutions.com/eng/press-area/news/" TargetMode="External" Id="rId43"/><Relationship Type="http://schemas.openxmlformats.org/officeDocument/2006/relationships/hyperlink" Target="https://www.ganmar.it/en/marmomac-2024-the-walk-of-stone/" TargetMode="External" Id="rId44"/><Relationship Type="http://schemas.openxmlformats.org/officeDocument/2006/relationships/hyperlink" Target="https://www.stone-ideas.com/115216/marmomac-meets-academies-la-foresta-incantata/" TargetMode="External" Id="rId45"/><Relationship Type="http://schemas.openxmlformats.org/officeDocument/2006/relationships/hyperlink" Target="https://marmomacplus.com/en/companies" TargetMode="External" Id="rId46"/><Relationship Type="http://schemas.openxmlformats.org/officeDocument/2006/relationships/hyperlink" Target="https://www.stone-ideas.com/115216/marmomac-meets-academies-la-foresta-incantata/" TargetMode="External" Id="rId47"/><Relationship Type="http://schemas.openxmlformats.org/officeDocument/2006/relationships/hyperlink" Target="https://marmomacplus.com/en/companies" TargetMode="External" Id="rId48"/><Relationship Type="http://schemas.openxmlformats.org/officeDocument/2006/relationships/hyperlink" Target="https://www.tenax.it/en/t-magazine/marmomac-2025-2/" TargetMode="External" Id="rId49"/><Relationship Type="http://schemas.openxmlformats.org/officeDocument/2006/relationships/hyperlink" Target="https://www.antolini.com/en/event/marmomac-2025" TargetMode="External" Id="rId50"/><Relationship Type="http://schemas.openxmlformats.org/officeDocument/2006/relationships/hyperlink" Target="https://www.margraf-usa.com/marmomac-2025-explore-margrafs-endless-journey-into-natural-stone/" TargetMode="External" Id="rId51"/><Relationship Type="http://schemas.openxmlformats.org/officeDocument/2006/relationships/hyperlink" Target="https://www.bagnara.net/en/now/press-releases/" TargetMode="External" Id="rId52"/><Relationship Type="http://schemas.openxmlformats.org/officeDocument/2006/relationships/hyperlink" Target="https://carat-diffusion.com/" TargetMode="External" Id="rId53"/><Relationship Type="http://schemas.openxmlformats.org/officeDocument/2006/relationships/hyperlink" Target="https://www.fum.it/tag/marmomac/" TargetMode="External" Id="rId54"/><Relationship Type="http://schemas.openxmlformats.org/officeDocument/2006/relationships/hyperlink" Target="https://marmomacplus.com/en/companies" TargetMode="External" Id="rId55"/><Relationship Type="http://schemas.openxmlformats.org/officeDocument/2006/relationships/hyperlink" Target="https://marmomacplus.com/en/companies" TargetMode="External" Id="rId56"/><Relationship Type="http://schemas.openxmlformats.org/officeDocument/2006/relationships/hyperlink" Target="https://marmomacplus.com/en/companies" TargetMode="External" Id="rId57"/><Relationship Type="http://schemas.openxmlformats.org/officeDocument/2006/relationships/hyperlink" Target="https://marmomacplus.com/en/companies" TargetMode="External" Id="rId58"/><Relationship Type="http://schemas.openxmlformats.org/officeDocument/2006/relationships/hyperlink" Target="https://www.bateig.com/en/blog/" TargetMode="External" Id="rId59"/><Relationship Type="http://schemas.openxmlformats.org/officeDocument/2006/relationships/hyperlink" Target="https://marmomacplus.com/en/companies" TargetMode="External" Id="rId60"/><Relationship Type="http://schemas.openxmlformats.org/officeDocument/2006/relationships/hyperlink" Target="https://www.mz-consulting.org/news/2129/" TargetMode="External" Id="rId61"/><Relationship Type="http://schemas.openxmlformats.org/officeDocument/2006/relationships/hyperlink" Target="https://www.elledecoration.co.uk/" TargetMode="External" Id="rId62"/><Relationship Type="http://schemas.openxmlformats.org/officeDocument/2006/relationships/hyperlink" Target="https://www.elledecoration.co.uk/" TargetMode="External" Id="rId63"/><Relationship Type="http://schemas.openxmlformats.org/officeDocument/2006/relationships/hyperlink" Target="https://www.granitifavorita.com/en/news/" TargetMode="External" Id="rId64"/><Relationship Type="http://schemas.openxmlformats.org/officeDocument/2006/relationships/hyperlink" Target="https://www.mediakey.it/news/furrer-s-p-a-premiata-al-marmomac-2025-con-il-best-communicator-award-iusve/" TargetMode="External" Id="rId65"/><Relationship Type="http://schemas.openxmlformats.org/officeDocument/2006/relationships/hyperlink" Target="https://marmomacplus.com/en/companies" TargetMode="External" Id="rId66"/><Relationship Type="http://schemas.openxmlformats.org/officeDocument/2006/relationships/hyperlink" Target="https://www.grassipietre.com/marmomac-2023/" TargetMode="External" Id="rId67"/><Relationship Type="http://schemas.openxmlformats.org/officeDocument/2006/relationships/hyperlink" Target="https://www.gruppotoscomarmi.com/marmomac-2024/?lang=en" TargetMode="External" Id="rId68"/><Relationship Type="http://schemas.openxmlformats.org/officeDocument/2006/relationships/hyperlink" Target="https://www.stone-ideas.com/107583/marmomac-journey-to-the-centre-of-the-table-2024/" TargetMode="External" Id="rId69"/><Relationship Type="http://schemas.openxmlformats.org/officeDocument/2006/relationships/hyperlink" Target="https://marmomacplus.com/en/companies" TargetMode="External" Id="rId70"/><Relationship Type="http://schemas.openxmlformats.org/officeDocument/2006/relationships/hyperlink" Target="https://www.stonenews.eu/" TargetMode="External" Id="rId71"/><Relationship Type="http://schemas.openxmlformats.org/officeDocument/2006/relationships/hyperlink" Target="https://www.marmifaedo.com/" TargetMode="External" Id="rId72"/><Relationship Type="http://schemas.openxmlformats.org/officeDocument/2006/relationships/hyperlink" Target="https://www.marmiorobici.com/whats-new/marmomac-2026/" TargetMode="External" Id="rId73"/><Relationship Type="http://schemas.openxmlformats.org/officeDocument/2006/relationships/hyperlink" Target="https://www.marmiscala.com/en/Company/News/" TargetMode="External" Id="rId74"/><Relationship Type="http://schemas.openxmlformats.org/officeDocument/2006/relationships/hyperlink" Target="https://marmomacplus.com/en/companies" TargetMode="External" Id="rId75"/><Relationship Type="http://schemas.openxmlformats.org/officeDocument/2006/relationships/hyperlink" Target="https://www.stonegroup.gr/blog/stone-group-international-at-marmomac-2025/" TargetMode="External" Id="rId76"/><Relationship Type="http://schemas.openxmlformats.org/officeDocument/2006/relationships/hyperlink" Target="https://marmomacplus.com/en/companies" TargetMode="External" Id="rId77"/><Relationship Type="http://schemas.openxmlformats.org/officeDocument/2006/relationships/hyperlink" Target="https://www.tureks.com/marmomac-2025/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8" customWidth="1" min="3" max="3"/>
    <col width="78" customWidth="1" min="4" max="4"/>
  </cols>
  <sheetData>
    <row r="1" ht="22" customHeight="1">
      <c r="A1" s="1" t="inlineStr">
        <is>
          <t>Nome</t>
        </is>
      </c>
      <c r="B1" s="1" t="inlineStr">
        <is>
          <t>Ruolo potenziale</t>
        </is>
      </c>
      <c r="C1" s="1" t="inlineStr">
        <is>
          <t>Evidence</t>
        </is>
      </c>
      <c r="D1" s="1" t="inlineStr">
        <is>
          <t>Come ci arriviamo</t>
        </is>
      </c>
    </row>
    <row r="2">
      <c r="A2" s="2" t="inlineStr">
        <is>
          <t>Davide Fabio Colaci – DFC Studio (Milano)</t>
        </is>
      </c>
      <c r="B2" s="3" t="inlineStr">
        <is>
          <t>cliente</t>
        </is>
      </c>
      <c r="C2" s="2" t="inlineStr">
        <is>
          <t>Curatore 'Marble Interiors – 10 edited projects', Hall 10, Marmomac 2026 (marmomac.com)</t>
        </is>
      </c>
      <c r="D2" s="2" t="inlineStr">
        <is>
          <t>Intro via Patrizia Più (Veronafiere) come fabbricatore trentino; presidio Hall 10 all'apertura 22/9; proporre un progetto Marmareos per l'edizione 2027; DM LinkedIn pre-fiera.</t>
        </is>
      </c>
    </row>
    <row r="3">
      <c r="A3" s="2" t="inlineStr">
        <is>
          <t>Hannes Peer Architecture (Milano)</t>
        </is>
      </c>
      <c r="B3" s="3" t="inlineStr">
        <is>
          <t>cliente</t>
        </is>
      </c>
      <c r="C3" s="2" t="inlineStr">
        <is>
          <t>Best Communicator Award Marmomac 2025 con Margraf, progetto 'Crash' (stone-ideas.com)</t>
        </is>
      </c>
      <c r="D3" s="2" t="inlineStr">
        <is>
          <t>Già lavora con produttori di marmo: proporsi come fabbricatore CNC su misura; intro via stand Margraf (Area I) o serata BCA; portfolio Monaco.</t>
        </is>
      </c>
    </row>
    <row r="4">
      <c r="A4" s="2" t="inlineStr">
        <is>
          <t>Joseph Grima – Space Caviar / Alcova (Milano)</t>
        </is>
      </c>
      <c r="B4" s="3" t="inlineStr">
        <is>
          <t>cliente</t>
        </is>
      </c>
      <c r="C4" s="2" t="inlineStr">
        <is>
          <t>Curatore mostra 'ON STONE', Hall 10, Marmomac 2026; talk 'Il Tecnoartigiano' 2025 (marmomac.com)</t>
        </is>
      </c>
      <c r="D4" s="2" t="inlineStr">
        <is>
          <t>Aggancio sul tema 'tecno-artigiano' (5 assi + finitura a mano): portare un pezzo in tasca; chiedere slot 15' a Hall 10; obiettivo ingresso nel network Alcova (Milano Design Week 2027).</t>
        </is>
      </c>
    </row>
    <row r="5">
      <c r="A5" s="2" t="inlineStr">
        <is>
          <t>Massimo Adario Architetto (Milano)</t>
        </is>
      </c>
      <c r="B5" s="3" t="inlineStr">
        <is>
          <t>cliente</t>
        </is>
      </c>
      <c r="C5" s="2" t="inlineStr">
        <is>
          <t>Speaker 'Customized Marble' (Elle Decor, Hall 1) Marmomac 2023 (stonenews.eu)</t>
        </is>
      </c>
      <c r="D5" s="2" t="inlineStr">
        <is>
          <t>Interni residenziali alto di gamma Milano: outreach pre-fiera via Elle Decor Italia; proporre incontro a Verona o in studio a Milano con campioni verdi/onici.</t>
        </is>
      </c>
    </row>
    <row r="6">
      <c r="A6" s="2" t="inlineStr">
        <is>
          <t>THDP – The Hickson Design Partnership (Londra/Milano)</t>
        </is>
      </c>
      <c r="B6" s="3" t="inlineStr">
        <is>
          <t>cliente</t>
        </is>
      </c>
      <c r="C6" s="2" t="inlineStr">
        <is>
          <t>Speaker 'The Soul of Stone' Marmomac 2023 (stonenews.eu; livawards.com)</t>
        </is>
      </c>
      <c r="D6" s="2" t="inlineStr">
        <is>
          <t>Interior hospitality (catene 5 stelle): intro via Platform; pitch reference Hermitage/Monte Carlo Bay [con autorizzazione]; meeting a Milano.</t>
        </is>
      </c>
    </row>
    <row r="7">
      <c r="A7" s="2" t="inlineStr">
        <is>
          <t>BUREAU – Zamarbide/Pimenta (Ginevra)</t>
        </is>
      </c>
      <c r="B7" s="3" t="inlineStr">
        <is>
          <t>cliente</t>
        </is>
      </c>
      <c r="C7" s="2" t="inlineStr">
        <is>
          <t>Speaker 'The Soul of Stone' (Platform, Hall 10) Marmomac 2023 (bureau.ac)</t>
        </is>
      </c>
      <c r="D7" s="2" t="inlineStr">
        <is>
          <t>Target Ginevra (mercato EN/FR): intro via Platform Architecture &amp; Design; proposta incontro alla sessione Platform 2026; campionatura verdi.</t>
        </is>
      </c>
    </row>
    <row r="8">
      <c r="A8" s="2" t="inlineStr">
        <is>
          <t>Calvi Brambilla (Milano)</t>
        </is>
      </c>
      <c r="B8" s="3" t="inlineStr">
        <is>
          <t>cliente</t>
        </is>
      </c>
      <c r="C8" s="2" t="inlineStr">
        <is>
          <t>Progettisti del padiglione 'A Matter of Stone' (Hall 1) Marmomac 2023 e 2024 (ifdm.design)</t>
        </is>
      </c>
      <c r="D8" s="2" t="inlineStr">
        <is>
          <t>Collaboratori ricorrenti della fiera: conoscono gli espositori; chiedere caffè in fiera per mappare chi cerca un fabbricatore; poi campionatura.</t>
        </is>
      </c>
    </row>
    <row r="9">
      <c r="A9" s="2" t="inlineStr">
        <is>
          <t>Carl Fredrik Svenstedt Architecte (Parigi)</t>
        </is>
      </c>
      <c r="B9" s="3" t="inlineStr">
        <is>
          <t>cliente</t>
        </is>
      </c>
      <c r="C9" s="2" t="inlineStr">
        <is>
          <t>Speaker 'Stone: Timeless Architecture' (Platform, Hall 1) Marmomac 2025 (platformarchitecture.it)</t>
        </is>
      </c>
      <c r="D9" s="2" t="inlineStr">
        <is>
          <t>Architetto FR che costruisce in pietra massiva (Provenza): intro via Platform; pitch in francese; ponte verso Costa Azzurra.</t>
        </is>
      </c>
    </row>
    <row r="10">
      <c r="A10" s="2" t="inlineStr">
        <is>
          <t>Carlo Ratti Associati (Torino/NY)</t>
        </is>
      </c>
      <c r="B10" s="3" t="inlineStr">
        <is>
          <t>cliente</t>
        </is>
      </c>
      <c r="C10" s="2" t="inlineStr">
        <is>
          <t>Keynote di apertura 60ª edizione Marmomac 2026 (mediakey.it, ifdm.design)</t>
        </is>
      </c>
      <c r="D10" s="2" t="inlineStr">
        <is>
          <t>Presenza in prima fila alla keynote del 22/9; domanda pubblica su tolleranze/rilievo laser; follow-up allo studio con one-pager 'qualità misurabile' entro 48h.</t>
        </is>
      </c>
    </row>
    <row r="11">
      <c r="A11" s="2" t="inlineStr">
        <is>
          <t>Elisa Ossino Studio (Milano)</t>
        </is>
      </c>
      <c r="B11" s="3" t="inlineStr">
        <is>
          <t>cliente</t>
        </is>
      </c>
      <c r="C11" s="2" t="inlineStr">
        <is>
          <t>'Stone Design Talk' Elle Decor, Hall 1, Marmomac 2023 (stonenews.eu)</t>
        </is>
      </c>
      <c r="D11" s="2" t="inlineStr">
        <is>
          <t>Studio con forte vocabolario materico: invito a material presentation in studio (formato WP-05 §2.2) con lotti selezionati; aggancio via Elle Decor.</t>
        </is>
      </c>
    </row>
    <row r="12">
      <c r="A12" s="2" t="inlineStr">
        <is>
          <t>Foster + Partners (Londra)</t>
        </is>
      </c>
      <c r="B12" s="3" t="inlineStr">
        <is>
          <t>cliente</t>
        </is>
      </c>
      <c r="C12" s="2" t="inlineStr">
        <is>
          <t>Progetto 'Gateway to Avalon' a Marmomac Meets Academies 2025 (stone-ideas.com)</t>
        </is>
      </c>
      <c r="D12" s="2" t="inlineStr">
        <is>
          <t>Aggancio via Giuseppe Fallacara (curatore Meets Academies): incontro con Fabio Tellia a Hall 10; angolo marmo alleggerito per yacht e branded residences.</t>
        </is>
      </c>
    </row>
    <row r="13">
      <c r="A13" s="2" t="inlineStr">
        <is>
          <t>Giuliano Andrea dell'Uva Architetti (Napoli)</t>
        </is>
      </c>
      <c r="B13" s="3" t="inlineStr">
        <is>
          <t>cliente</t>
        </is>
      </c>
      <c r="C13" s="2" t="inlineStr">
        <is>
          <t>Speaker 'Customized Marble' con Adario (Elle Decor, Hall 1) Marmomac 2023 (stonenews.eu)</t>
        </is>
      </c>
      <c r="D13" s="2" t="inlineStr">
        <is>
          <t>Ville e hospitality (Capri/Costiera): outreach via Elle Decor; pitch 'un solo interlocutore tecnico dal rilievo alla consegna' per cantieri difficili.</t>
        </is>
      </c>
    </row>
    <row r="14">
      <c r="A14" s="2" t="inlineStr">
        <is>
          <t>Nenmar (Londra)</t>
        </is>
      </c>
      <c r="B14" s="3" t="inlineStr">
        <is>
          <t>cliente</t>
        </is>
      </c>
      <c r="C14" s="2" t="inlineStr">
        <is>
          <t>Speaker 'The Soul of Stone' Marmomac 2023 (stonenews.eu; nenmar.com)</t>
        </is>
      </c>
      <c r="D14" s="2" t="inlineStr">
        <is>
          <t>Residenziale luxury Londra: intro via Platform; proposta 'partner tecnico italiano per i vostri capitolati', consegne certificate UK.</t>
        </is>
      </c>
    </row>
    <row r="15">
      <c r="A15" s="2" t="inlineStr">
        <is>
          <t>Ross Lovegrove (Londra)</t>
        </is>
      </c>
      <c r="B15" s="3" t="inlineStr">
        <is>
          <t>cliente</t>
        </is>
      </c>
      <c r="C15" s="2" t="inlineStr">
        <is>
          <t>Installazione 'Marmomac &amp; The City' 2026 con White Carrara (mediakey.it, ifdm.design)</t>
        </is>
      </c>
      <c r="D15" s="2" t="inlineStr">
        <is>
          <t>Partecipare all'inaugurazione in centro a Verona (21/9); pitch marmo alleggerito per yacht/jet (Londra = mercato EN); invito a visitare l'officina di Arco.</t>
        </is>
      </c>
    </row>
    <row r="16">
      <c r="A16" s="2" t="inlineStr">
        <is>
          <t>Schiattarella Associati (Roma)</t>
        </is>
      </c>
      <c r="B16" s="3" t="inlineStr">
        <is>
          <t>cliente</t>
        </is>
      </c>
      <c r="C16" s="2" t="inlineStr">
        <is>
          <t>Vincitore Dedalo Minosse–Marmomac Special Prize 2025; talk 'Liminal Stone' (dedalominosse.org)</t>
        </is>
      </c>
      <c r="D16" s="2" t="inlineStr">
        <is>
          <t>Studio con progetti in pietra nel Golfo: presenza alla cerimonia Dedalo Minosse 2026; proposta come partner esecutivo per contract/hospitality.</t>
        </is>
      </c>
    </row>
    <row r="17">
      <c r="A17" s="2" t="inlineStr">
        <is>
          <t>Studiopepe (Milano)</t>
        </is>
      </c>
      <c r="B17" s="3" t="inlineStr">
        <is>
          <t>cliente</t>
        </is>
      </c>
      <c r="C17" s="2" t="inlineStr">
        <is>
          <t>'Stone Design Talk' 2023 + protagonisti Italian Stone Theatre (marmomac.com, stonenews.eu)</t>
        </is>
      </c>
      <c r="D17" s="2" t="inlineStr">
        <is>
          <t>Hospitality e residenziale: outreach LinkedIn a Lelli Mami/Di Pinto; proposta campionatura per progetto in corso; incontro a Verona o Milano.</t>
        </is>
      </c>
    </row>
    <row r="18">
      <c r="A18" s="2" t="inlineStr">
        <is>
          <t>The Stonemasonry Company (UK)</t>
        </is>
      </c>
      <c r="B18" s="3" t="inlineStr">
        <is>
          <t>cliente</t>
        </is>
      </c>
      <c r="C18" s="2" t="inlineStr">
        <is>
          <t>Partner Marmomac Meets Academies 2025 ('Why Not?') (stone-ideas.com)</t>
        </is>
      </c>
      <c r="D18" s="2" t="inlineStr">
        <is>
          <t>Contractor UK che necessita fabbricazione italiana: incontro a Hall 10; proporre subfornitura CNC per cantieri luxury a Londra.</t>
        </is>
      </c>
    </row>
    <row r="19">
      <c r="A19" s="2" t="inlineStr">
        <is>
          <t>Arup (Londra)</t>
        </is>
      </c>
      <c r="B19" s="3" t="inlineStr">
        <is>
          <t>cliente</t>
        </is>
      </c>
      <c r="C19" s="2" t="inlineStr">
        <is>
          <t>Partner Marmomac Meets Academies 2024 e 2025 (internimagazine.com, stone-ideas.com)</t>
        </is>
      </c>
      <c r="D19" s="2" t="inlineStr">
        <is>
          <t>Specificano pietra strutturale su Londra/Golfo: incontro a Hall 10 via Fallacara; posizionarsi come fabbricatore con tolleranze certificate.</t>
        </is>
      </c>
    </row>
    <row r="20">
      <c r="A20" s="2" t="inlineStr">
        <is>
          <t>CCD Cheng Chung Design (Shenzhen/HK)</t>
        </is>
      </c>
      <c r="B20" s="3" t="inlineStr">
        <is>
          <t>cliente</t>
        </is>
      </c>
      <c r="C20" s="2" t="inlineStr">
        <is>
          <t>Designer nella mostra 'Full/Empty' di Galiotto, Hall 10, Marmomac 2024 (stoneworld.com)</t>
        </is>
      </c>
      <c r="D20" s="2" t="inlineStr">
        <is>
          <t>Tra i maggiori studi hotel-interior in Asia con progetti in Medio Oriente: aggancio via Raffaello Galiotto; pitch hospitality + alleggerito.</t>
        </is>
      </c>
    </row>
    <row r="21">
      <c r="A21" s="2" t="inlineStr">
        <is>
          <t>Claudio Nardi Architects (Firenze)</t>
        </is>
      </c>
      <c r="B21" s="3" t="inlineStr">
        <is>
          <t>cliente</t>
        </is>
      </c>
      <c r="C21" s="2" t="inlineStr">
        <is>
          <t>Installazione 'Marmomac &amp; The City' 2026 (mediakey.it; da verificare vs Fabio Novembre)</t>
        </is>
      </c>
      <c r="D21" s="2" t="inlineStr">
        <is>
          <t>Verificare il nome sul programma ufficiale; incontro all'inaugurazione; angolo hospitality/retail (Hermitage, Monte Carlo Bay) per progetti alberghieri.</t>
        </is>
      </c>
    </row>
    <row r="22">
      <c r="A22" s="2" t="inlineStr">
        <is>
          <t>Diriyah Company (Riyadh)</t>
        </is>
      </c>
      <c r="B22" s="3" t="inlineStr">
        <is>
          <t>cliente</t>
        </is>
      </c>
      <c r="C22" s="2" t="inlineStr">
        <is>
          <t>Committente del progetto vincitore Marmomac Special Prize 2025 (archiproducts.com)</t>
        </is>
      </c>
      <c r="D22" s="2" t="inlineStr">
        <is>
          <t>Mega-developer che specifica pietra a scala: aggancio via Schiattarella e canale Dedalo Minosse/ALA; obiettivo capitolati hospitality e branded residences.</t>
        </is>
      </c>
    </row>
    <row r="23">
      <c r="A23" s="2" t="inlineStr">
        <is>
          <t>Fran Silvestre Arquitectos (Valencia)</t>
        </is>
      </c>
      <c r="B23" s="3" t="inlineStr">
        <is>
          <t>cliente</t>
        </is>
      </c>
      <c r="C23" s="2" t="inlineStr">
        <is>
          <t>Speaker 'Stone: Timeless Architecture' Marmomac 2025 (platformarchitecture.it)</t>
        </is>
      </c>
      <c r="D23" s="2" t="inlineStr">
        <is>
          <t>Specialista di ville di lusso marble-heavy: intro via Platform; proposta grandi lastre/bookmatch con tolleranze documentate.</t>
        </is>
      </c>
    </row>
    <row r="24">
      <c r="A24" s="2" t="inlineStr">
        <is>
          <t>Guinet Derriaz (Francia)</t>
        </is>
      </c>
      <c r="B24" s="3" t="inlineStr">
        <is>
          <t>cliente</t>
        </is>
      </c>
      <c r="C24" s="2" t="inlineStr">
        <is>
          <t>Espositore Marmomac 2022, Pad. 9 stand E2 (drylayout.com elenco espositori)</t>
        </is>
      </c>
      <c r="D24" s="2" t="inlineStr">
        <is>
          <t>Marmista francese: possibile cliente/partner per progetti FR; visita allo stand se presente nel 2026, altrimenti email in francese post-fiera.</t>
        </is>
      </c>
    </row>
    <row r="25">
      <c r="A25" s="2" t="inlineStr">
        <is>
          <t>Henry Timi (Milano)</t>
        </is>
      </c>
      <c r="B25" s="3" t="inlineStr">
        <is>
          <t>cliente</t>
        </is>
      </c>
      <c r="C25" s="2" t="inlineStr">
        <is>
          <t>Talk Elle Decor su pietra e interior, Marmomac 2024 (mz-consulting.org)</t>
        </is>
      </c>
      <c r="D25" s="2" t="inlineStr">
        <is>
          <t>Minimalismo materico in marmo: pitch tolleranze millimetriche + grandi lastre; contatto pre-fiera via LinkedIn e visita a Verona.</t>
        </is>
      </c>
    </row>
    <row r="26">
      <c r="A26" s="2" t="inlineStr">
        <is>
          <t>Mario Botta Architetti (Mendrisio)</t>
        </is>
      </c>
      <c r="B26" s="3" t="inlineStr">
        <is>
          <t>cliente</t>
        </is>
      </c>
      <c r="C26" s="2" t="inlineStr">
        <is>
          <t>Lectio Magistralis Hall 10, Marmomac 2023 (platformarchitecture.it) – evidenza singola</t>
        </is>
      </c>
      <c r="D26" s="2" t="inlineStr">
        <is>
          <t>Ancora sul mercato svizzero/Ticino: outreach diretto allo studio con reference Monaco; eventuale incontro a Mendrisio dopo la fiera.</t>
        </is>
      </c>
    </row>
    <row r="27">
      <c r="A27" s="2" t="inlineStr">
        <is>
          <t>Stoneline (Londra)</t>
        </is>
      </c>
      <c r="B27" s="3" t="inlineStr">
        <is>
          <t>cliente</t>
        </is>
      </c>
      <c r="C27" s="2" t="inlineStr">
        <is>
          <t>Espositore Hall 9 D8 nel 2021; sito cita edizioni 2024-25 (stoneline.co.uk) – evidenza debole</t>
        </is>
      </c>
      <c r="D27" s="2" t="inlineStr">
        <is>
          <t>Galleria A&amp;D di Wigmore St che vende a progettisti: proporre Marmareos come fabbricatore italiano dei loro pezzi su misura; verificare stand 2026.</t>
        </is>
      </c>
    </row>
    <row r="28">
      <c r="A28" s="2" t="inlineStr">
        <is>
          <t>Confindustria Marmomacchine – 'Casa Italia'</t>
        </is>
      </c>
      <c r="B28" s="4" t="inlineStr">
        <is>
          <t>partner</t>
        </is>
      </c>
      <c r="C28" s="2" t="inlineStr">
        <is>
          <t>Stand Hall 2 C3 con sale meeting per soci, Marmomac 2025-26 (marmomacchineinternational.com)</t>
        </is>
      </c>
      <c r="D28" s="2" t="inlineStr">
        <is>
          <t>Iscriversi all'associazione per usare le sale meeting come 'stand virtuale' per gli appuntamenti pre-fissati; networking hours con delegazioni estere.</t>
        </is>
      </c>
    </row>
    <row r="29">
      <c r="A29" s="2" t="inlineStr">
        <is>
          <t>Donatoni Macchine – Stone Week (Domegliara)</t>
        </is>
      </c>
      <c r="B29" s="4" t="inlineStr">
        <is>
          <t>partner</t>
        </is>
      </c>
      <c r="C29" s="2" t="inlineStr">
        <is>
          <t>Non espone nel 2026: Donatoni Stone Week 21-26/9 in sede con navetta da fiera (focuspiedra.com)</t>
        </is>
      </c>
      <c r="D29" s="2" t="inlineStr">
        <is>
          <t>Fornitore attuale (Jet): proporsi come cliente-testimonial alla Stone Week; ospitare lì 2-3 meeting con architetti; sfruttare la navetta come 'nostro' spazio.</t>
        </is>
      </c>
    </row>
    <row r="30">
      <c r="A30" s="2" t="inlineStr">
        <is>
          <t>Elle Decor Italia / ELLE Decoration UK</t>
        </is>
      </c>
      <c r="B30" s="4" t="inlineStr">
        <is>
          <t>partner</t>
        </is>
      </c>
      <c r="C30" s="2" t="inlineStr">
        <is>
          <t>Curatori talk 'A Matter of Stone' Hall 1, Marmomac 2023-24 (stonenews.eu, elledecoration.co.uk)</t>
        </is>
      </c>
      <c r="D30" s="2" t="inlineStr">
        <is>
          <t>Accesso a interior designer Milano/Londra: proporre Marmareos come caso 'qualità misurabile' per un talk o feature; presenza ai talk 2026 con follow-up.</t>
        </is>
      </c>
    </row>
    <row r="31">
      <c r="A31" s="2" t="inlineStr">
        <is>
          <t>ICE-Agenzia / Veronafiere Incoming Buyers</t>
        </is>
      </c>
      <c r="B31" s="4" t="inlineStr">
        <is>
          <t>partner</t>
        </is>
      </c>
      <c r="C31" s="2" t="inlineStr">
        <is>
          <t>Programma buyer/architetti ospitati 2024 (44 paesi) e 2025 (USA, Golfo) (aefi.it, buildnews.it)</t>
        </is>
      </c>
      <c r="D31" s="2" t="inlineStr">
        <is>
          <t>Chiedere a Veronafiere B2B (Valeria Santolin) il matching con architetti/contractor ospitati da Francia, UK, Golfo; registrarsi come 'espositore visitatore'.</t>
        </is>
      </c>
    </row>
    <row r="32">
      <c r="A32" s="2" t="inlineStr">
        <is>
          <t>Platform Architecture &amp; Design (Milano)</t>
        </is>
      </c>
      <c r="B32" s="4" t="inlineStr">
        <is>
          <t>partner</t>
        </is>
      </c>
      <c r="C32" s="2" t="inlineStr">
        <is>
          <t>Talk annuali 2022-25; nel 2024 delegazioni da Francia, UK, Irlanda, Grecia (platformarchitecture.it)</t>
        </is>
      </c>
      <c r="D32" s="2" t="inlineStr">
        <is>
          <t>Il canale più diretto verso architetti stranieri in fiera: chiedere di entrare nella sessione/delegazione 2026 come 'technical partner'; sponsorizzare un caffè.</t>
        </is>
      </c>
    </row>
    <row r="33">
      <c r="A33" s="2" t="inlineStr">
        <is>
          <t>Prussiani Engineering (Albano S. Alessandro)</t>
        </is>
      </c>
      <c r="B33" s="4" t="inlineStr">
        <is>
          <t>partner</t>
        </is>
      </c>
      <c r="C33" s="2" t="inlineStr">
        <is>
          <t>Catalogo Marmomac Plus 2026: Hall 3 A15/A31-B24/B40; stand 2025 A15 (focuspiedra.com)</t>
        </is>
      </c>
      <c r="D33" s="2" t="inlineStr">
        <is>
          <t>Fornitore attuale (Cut-Jet, Mirror): chiedere co-presenza allo stand con pezzi Marmareos come demo, un tavolo per gli appuntamenti e una citazione come case study.</t>
        </is>
      </c>
    </row>
    <row r="34">
      <c r="A34" s="2" t="inlineStr">
        <is>
          <t>Starcell – Honeycomb &amp; Composite Panels (Milano)</t>
        </is>
      </c>
      <c r="B34" s="4" t="inlineStr">
        <is>
          <t>partner</t>
        </is>
      </c>
      <c r="C34" s="2" t="inlineStr">
        <is>
          <t>Catalogo Marmomac Plus 2026: Hall 7 G5; pannelli nautici IMO/MED (starcellspa.com)</t>
        </is>
      </c>
      <c r="D34" s="2" t="inlineStr">
        <is>
          <t>Fornitore-tipo del pannello a nido d'ape: proporre offerta congiunta 'marmo alleggerito certificato' per yacht e co-presenza con un campione Marmareos sul loro stand.</t>
        </is>
      </c>
    </row>
    <row r="35">
      <c r="A35" s="2" t="inlineStr">
        <is>
          <t>Veronafiere – The Bedrock (mostre culturali 2026)</t>
        </is>
      </c>
      <c r="B35" s="4" t="inlineStr">
        <is>
          <t>partner</t>
        </is>
      </c>
      <c r="C35" s="2" t="inlineStr">
        <is>
          <t>Partecipazione a pagamento con pacchetto visibilità; contatto Patrizia Più (marmomac.com)</t>
        </is>
      </c>
      <c r="D35" s="2" t="inlineStr">
        <is>
          <t>Esporre un pezzo Marmareos in Hall 10 senza stand: candidarsi subito (form + regolamento); se tardi per il 2026, prenotare 2027 e usare il contatto per intro ai curatori.</t>
        </is>
      </c>
    </row>
    <row r="36">
      <c r="A36" s="2" t="inlineStr">
        <is>
          <t>ADI Delegazione Veneto e Trentino Alto Adige</t>
        </is>
      </c>
      <c r="B36" s="4" t="inlineStr">
        <is>
          <t>partner</t>
        </is>
      </c>
      <c r="C36" s="2" t="inlineStr">
        <is>
          <t>Mostra 'Modular Verticalities' al Plus Theatre, Hall 10, Marmomac 2025 (buildnews.it)</t>
        </is>
      </c>
      <c r="D36" s="2" t="inlineStr">
        <is>
          <t>Marmareos è trentina: proporre a ADI Trentino un pezzo per la mostra 2026/27 e chiedere intro ai designer soci; contatto curatori Trevisani/Dandini.</t>
        </is>
      </c>
    </row>
    <row r="37">
      <c r="A37" s="2" t="inlineStr">
        <is>
          <t>Breton – Experience Week</t>
        </is>
      </c>
      <c r="B37" s="4" t="inlineStr">
        <is>
          <t>partner</t>
        </is>
      </c>
      <c r="C37" s="2" t="inlineStr">
        <is>
          <t>Hall 2 C2 'Breton Lounge' + Breton Experience Week 21-25/9 in sede (breton.it, focuspiedra.com)</t>
        </is>
      </c>
      <c r="D37" s="2" t="inlineStr">
        <is>
          <t>Evento fuori fiera che raduna fabbricatori e clienti: iscriversi, networking con importatori esteri; proporre visita reciproca officina Arco.</t>
        </is>
      </c>
    </row>
    <row r="38">
      <c r="A38" s="2" t="inlineStr">
        <is>
          <t>DDX Software Solutions – EasySTONE</t>
        </is>
      </c>
      <c r="B38" s="4" t="inlineStr">
        <is>
          <t>partner</t>
        </is>
      </c>
      <c r="C38" s="2" t="inlineStr">
        <is>
          <t>Espositore 2023-26, Hall 3 C21/C29 (ddxgroup.com)</t>
        </is>
      </c>
      <c r="D38" s="2" t="inlineStr">
        <is>
          <t>CAD/CAM: proporre Marmareos come caso applicativo 5 assi; chiedere slot demo con un pezzo Marmareos e presentazione a clienti esteri DDX.</t>
        </is>
      </c>
    </row>
    <row r="39">
      <c r="A39" s="2" t="inlineStr">
        <is>
          <t>Dedalo Minosse / ALA Assoarchitetti (Vicenza)</t>
        </is>
      </c>
      <c r="B39" s="4" t="inlineStr">
        <is>
          <t>partner</t>
        </is>
      </c>
      <c r="C39" s="2" t="inlineStr">
        <is>
          <t>Marmomac Special Prize 2025 assegnato a Marmomac con talk dedicato (dedalominosse.org)</t>
        </is>
      </c>
      <c r="D39" s="2" t="inlineStr">
        <is>
          <t>Premio ai committenti (developer): partecipare alla cerimonia 2026, chiedere lista finalisti e proporre Marmareos come partner tecnico dei progetti premiati.</t>
        </is>
      </c>
    </row>
    <row r="40">
      <c r="A40" s="2" t="inlineStr">
        <is>
          <t>Leica Geosystems / Hexagon</t>
        </is>
      </c>
      <c r="B40" s="4" t="inlineStr">
        <is>
          <t>partner</t>
        </is>
      </c>
      <c r="C40" s="2" t="inlineStr">
        <is>
          <t>Catalogo Marmomac Plus 2026: Hall 5 G1-G2, categoria misura digitale (marmomacplus.com)</t>
        </is>
      </c>
      <c r="D40" s="2" t="inlineStr">
        <is>
          <t>Marmareos usa il rilievo laser: proporsi come utente-referenza (video/testimonial) in cambio di visibilità sullo stand e citazione nel materiale.</t>
        </is>
      </c>
    </row>
    <row r="41">
      <c r="A41" s="2" t="inlineStr">
        <is>
          <t>Pietra Naturale Autentica – PNA</t>
        </is>
      </c>
      <c r="B41" s="4" t="inlineStr">
        <is>
          <t>partner</t>
        </is>
      </c>
      <c r="C41" s="2" t="inlineStr">
        <is>
          <t>Catalogo Marmomac Plus 2026: Hall 11 C3-D3; presidente Stefano Ghirardi (marmomacplus.com)</t>
        </is>
      </c>
      <c r="D41" s="2" t="inlineStr">
        <is>
          <t>Rete italiana della pietra naturale: aderire e chiedere spazio/visibilità nello stand collettivo; posizionare Marmareos come 'boutique' del gruppo.</t>
        </is>
      </c>
    </row>
    <row r="42">
      <c r="A42" s="2" t="inlineStr">
        <is>
          <t>Prodim – Proliner (Helmond, NL)</t>
        </is>
      </c>
      <c r="B42" s="4" t="inlineStr">
        <is>
          <t>partner</t>
        </is>
      </c>
      <c r="C42" s="2" t="inlineStr">
        <is>
          <t>Espositore 2023-26, Hall 5 D4 (prodim-systems.com/prodim/exhibitions/)</t>
        </is>
      </c>
      <c r="D42" s="2" t="inlineStr">
        <is>
          <t>Rilievo digitale: case study Marmareos 'dal rilievo alla lastra' da presentare sul loro stand; scambio lead con fabbricatori esteri clienti Prodim.</t>
        </is>
      </c>
    </row>
    <row r="43">
      <c r="A43" s="2" t="inlineStr">
        <is>
          <t>Thibaut (Vire, Francia)</t>
        </is>
      </c>
      <c r="B43" s="4" t="inlineStr">
        <is>
          <t>partner</t>
        </is>
      </c>
      <c r="C43" s="2" t="inlineStr">
        <is>
          <t>Espositore 2025-26, Hall 4 G2-G3 + F3 (thibaut.fr)</t>
        </is>
      </c>
      <c r="D43" s="2" t="inlineStr">
        <is>
          <t>Costruttore francese con rete di marmisti in Costa Azzurra: chiedere intro ai loro clienti FR che cercano fabbricazione italiana di alta gamma.</t>
        </is>
      </c>
    </row>
    <row r="44">
      <c r="A44" s="2" t="inlineStr">
        <is>
          <t>FILA Solutions</t>
        </is>
      </c>
      <c r="B44" s="4" t="inlineStr">
        <is>
          <t>partner</t>
        </is>
      </c>
      <c r="C44" s="2" t="inlineStr">
        <is>
          <t>Hall 7 C6; partnership 2025 con Grassi Pietre e Ganmar (filasolutions.com)</t>
        </is>
      </c>
      <c r="D44" s="2" t="inlineStr">
        <is>
          <t>Già fa progetti co-branded con fabbricatori: proporre Marmareos come prossimo caso (trattamenti su progetti Monaco) con contenuto congiunto.</t>
        </is>
      </c>
    </row>
    <row r="45">
      <c r="A45" s="2" t="inlineStr">
        <is>
          <t>Ganmar – Sistema Flot / Vent</t>
        </is>
      </c>
      <c r="B45" s="4" t="inlineStr">
        <is>
          <t>partner</t>
        </is>
      </c>
      <c r="C45" s="2" t="inlineStr">
        <is>
          <t>Produttore 'Walk of Stone' 2024; stand Hall 7 C6 + Hall 10 nel 2025 (ganmar.it)</t>
        </is>
      </c>
      <c r="D45" s="2" t="inlineStr">
        <is>
          <t>Sistemi di pannelli leggeri: possibile partner tecnico per facciate/alleggerito (o competitor sulla nautica): visita esplorativa e scambio referenze.</t>
        </is>
      </c>
    </row>
    <row r="46">
      <c r="A46" s="2" t="inlineStr">
        <is>
          <t>Gramazio Kohler Research – ETH Zürich</t>
        </is>
      </c>
      <c r="B46" s="4" t="inlineStr">
        <is>
          <t>partner</t>
        </is>
      </c>
      <c r="C46" s="2" t="inlineStr">
        <is>
          <t>Mostre Marmomac 2024 ('Bolza Boundaries') e Meets Academies 2025 (stoneworld.com, stone-ideas.com)</t>
        </is>
      </c>
      <c r="D46" s="2" t="inlineStr">
        <is>
          <t>Canale verso architetti di Zurigo: proporre collaborazione su alleggerito/robotica; incontro a Hall 10 e invito in officina.</t>
        </is>
      </c>
    </row>
    <row r="47">
      <c r="A47" s="2" t="inlineStr">
        <is>
          <t>Litix – Robotor (Carrara)</t>
        </is>
      </c>
      <c r="B47" s="4" t="inlineStr">
        <is>
          <t>partner</t>
        </is>
      </c>
      <c r="C47" s="2" t="inlineStr">
        <is>
          <t>Catalogo Marmomac Plus 2026: Hall 5 F6-F7 (marmomacplus.com; robotor.it)</t>
        </is>
      </c>
      <c r="D47" s="2" t="inlineStr">
        <is>
          <t>Scultura robotica complementare al 5 assi: accordo di referral per pezzi artistici/design che richiedono finitura e posa in opera precise.</t>
        </is>
      </c>
    </row>
    <row r="48">
      <c r="A48" s="2" t="inlineStr">
        <is>
          <t>SNBR (Francia)</t>
        </is>
      </c>
      <c r="B48" s="4" t="inlineStr">
        <is>
          <t>partner</t>
        </is>
      </c>
      <c r="C48" s="2" t="inlineStr">
        <is>
          <t>Partner Marmomac Meets Academies 2024-25 (internimagazine.com, stone-ideas.com)</t>
        </is>
      </c>
      <c r="D48" s="2" t="inlineStr">
        <is>
          <t>Tagliatore robotico francese: partner per cantieri FR (loro taglio strutturale, noi finiture/interni); incontro a Hall 10.</t>
        </is>
      </c>
    </row>
    <row r="49">
      <c r="A49" s="2" t="inlineStr">
        <is>
          <t>Taglio – CAD/CAM + SlabVision</t>
        </is>
      </c>
      <c r="B49" s="4" t="inlineStr">
        <is>
          <t>partner</t>
        </is>
      </c>
      <c r="C49" s="2" t="inlineStr">
        <is>
          <t>Catalogo Marmomac Plus 2026: Hall 3 A6/A10 (marmomacplus.com)</t>
        </is>
      </c>
      <c r="D49" s="2" t="inlineStr">
        <is>
          <t>Scansione lastre e bookmatch digitale: co-demo 'bookmatch garantito' con lastre Marmareos; contenuto social congiunto.</t>
        </is>
      </c>
    </row>
    <row r="50">
      <c r="A50" s="2" t="inlineStr">
        <is>
          <t>Tenax (Volargne)</t>
        </is>
      </c>
      <c r="B50" s="4" t="inlineStr">
        <is>
          <t>partner</t>
        </is>
      </c>
      <c r="C50" s="2" t="inlineStr">
        <is>
          <t>Hall 7 D4-D5 + Dealer Day 25/9 al Plus Theatre, Marmomac 2025-26 (tenax.it)</t>
        </is>
      </c>
      <c r="D50" s="2" t="inlineStr">
        <is>
          <t>Resine per lavorazioni sottili/alleggerite: co-marketing 'finiture Marmareos con Tenax'; partecipare al Dealer Day per incontrare distributori esteri.</t>
        </is>
      </c>
    </row>
    <row r="51">
      <c r="A51" s="2" t="inlineStr">
        <is>
          <t>Antolini Luigi &amp; C. (Sega di Cavaion)</t>
        </is>
      </c>
      <c r="B51" s="5" t="inlineStr">
        <is>
          <t>competitor</t>
        </is>
      </c>
      <c r="C51" s="2" t="inlineStr">
        <is>
          <t>Area A 15-16 (2025-26) + Padiglione Antolini alle Gallerie Mercatali (antolini.com)</t>
        </is>
      </c>
      <c r="D51" s="2" t="inlineStr">
        <is>
          <t>Entrare come acquirente: Marmareos compra lastre rare per progetti Monaco. Meeting 'sourcing' con l'export manager; obiettivo referral come fabbricatore dei loro architetti.</t>
        </is>
      </c>
    </row>
    <row r="52">
      <c r="A52" s="2" t="inlineStr">
        <is>
          <t>Margraf (Chiampo)</t>
        </is>
      </c>
      <c r="B52" s="5" t="inlineStr">
        <is>
          <t>competitor</t>
        </is>
      </c>
      <c r="C52" s="2" t="inlineStr">
        <is>
          <t>Area I-I1 nel 2025-26; 'Planetario' di Galiotto e Margraf Night (margraf-usa.com)</t>
        </is>
      </c>
      <c r="D52" s="2" t="inlineStr">
        <is>
          <t>Stessa logica: meeting come acquirente di Fior di Pesco/lastre; partecipare alla Margraf Night (dove ci sono gli architetti); referral per lavorazioni complesse.</t>
        </is>
      </c>
    </row>
    <row r="53">
      <c r="A53" s="2" t="inlineStr">
        <is>
          <t>Nikolaus Bagnara (Appiano, BZ)</t>
        </is>
      </c>
      <c r="B53" s="5" t="inlineStr">
        <is>
          <t>competitor</t>
        </is>
      </c>
      <c r="C53" s="2" t="inlineStr">
        <is>
          <t>Hall 6 B3 (2025-26); presenza continua 2022-25 (bagnara.net, natursteinonline.de)</t>
        </is>
      </c>
      <c r="D53" s="2" t="inlineStr">
        <is>
          <t>Vicino altoatesino con enorme catalogo: incontro 'tra vicini' per fornitura lastre e possibile partnership Trentino-Alto Adige; studiare il loro stand-showroom.</t>
        </is>
      </c>
    </row>
    <row r="54">
      <c r="A54" s="2" t="inlineStr">
        <is>
          <t>Carat Diffusion (Monaco)</t>
        </is>
      </c>
      <c r="B54" s="5" t="inlineStr">
        <is>
          <t>competitor</t>
        </is>
      </c>
      <c r="C54" s="2" t="inlineStr">
        <is>
          <t>Competitor n.1 da DOSSIER brain; nessuna evidenza di presenza a Marmomac trovata</t>
        </is>
      </c>
      <c r="D54" s="2" t="inlineStr">
        <is>
          <t>Non aspettarlo in fiera: usare Marmomac per stringere accordi con i suoi fornitori di lastre e arrivare prima di lui dagli architetti di Monaco.</t>
        </is>
      </c>
    </row>
    <row r="55">
      <c r="A55" s="2" t="inlineStr">
        <is>
          <t>Franchi Umberto Marmi – FUM (Carrara)</t>
        </is>
      </c>
      <c r="B55" s="5" t="inlineStr">
        <is>
          <t>competitor</t>
        </is>
      </c>
      <c r="C55" s="2" t="inlineStr">
        <is>
          <t>Hall 9 C14 + Avenue E10 + Hall 6 F4 nel 2026; presente 2022-25 (fum.it)</t>
        </is>
      </c>
      <c r="D55" s="2" t="inlineStr">
        <is>
          <t>Cava quotata di Carrara con presenza ai boat show: meeting sourcing bianchi + proposta 'fabbricatore di riferimento per i vostri clienti yacht'.</t>
        </is>
      </c>
    </row>
    <row r="56">
      <c r="A56" s="2" t="inlineStr">
        <is>
          <t>Ghirardi Italian Stone Contractor (Carpenedolo)</t>
        </is>
      </c>
      <c r="B56" s="5" t="inlineStr">
        <is>
          <t>competitor</t>
        </is>
      </c>
      <c r="C56" s="2" t="inlineStr">
        <is>
          <t>Hall 6 C2 nel 2026; Walk of Stone 2024 (ganmar.it; marmomacplus.com)</t>
        </is>
      </c>
      <c r="D56" s="2" t="inlineStr">
        <is>
          <t>Sovrapposizione diretta (rilievo→CNC→cantiere): visita per benchmark; possibile subfornitura reciproca su picchi di lavoro; via PNA.</t>
        </is>
      </c>
    </row>
    <row r="57">
      <c r="A57" s="2" t="inlineStr">
        <is>
          <t>Lasa Marmo (Lasa, BZ)</t>
        </is>
      </c>
      <c r="B57" s="5" t="inlineStr">
        <is>
          <t>competitor</t>
        </is>
      </c>
      <c r="C57" s="2" t="inlineStr">
        <is>
          <t>Catalogo Marmomac Plus 2026: Hall 6 E2 (marmomacplus.com)</t>
        </is>
      </c>
      <c r="D57" s="2" t="inlineStr">
        <is>
          <t>Bianco Lasa è nel catalogo Marmareos: meeting sourcing diretto in cava; alleanza 'Trentino-Alto Adige' per progetti alpini/svizzeri.</t>
        </is>
      </c>
    </row>
    <row r="58">
      <c r="A58" s="2" t="inlineStr">
        <is>
          <t>Savema (Pietrasanta)</t>
        </is>
      </c>
      <c r="B58" s="5" t="inlineStr">
        <is>
          <t>competitor</t>
        </is>
      </c>
      <c r="C58" s="2" t="inlineStr">
        <is>
          <t>Hall 9 C6 nel 2026; padiglione 'A matter of stone' 2023 (stoneworld.com)</t>
        </is>
      </c>
      <c r="D58" s="2" t="inlineStr">
        <is>
          <t>Fabbricatore bespoke per architetti e yacht: benchmark diretto sull'alleggerito; capire i loro clienti nautici e i cantieri serviti.</t>
        </is>
      </c>
    </row>
    <row r="59">
      <c r="A59" s="2" t="inlineStr">
        <is>
          <t>Akdag Onyx (Elazığ)</t>
        </is>
      </c>
      <c r="B59" s="5" t="inlineStr">
        <is>
          <t>competitor</t>
        </is>
      </c>
      <c r="C59" s="2" t="inlineStr">
        <is>
          <t>Catalogo Marmomac Plus 2026: Hall 9 E7 (marmomacplus.com)</t>
        </is>
      </c>
      <c r="D59" s="2" t="inlineStr">
        <is>
          <t>Onici (in catalogo Marmareos): sourcing per retroilluminati; benchmark.</t>
        </is>
      </c>
    </row>
    <row r="60">
      <c r="A60" s="2" t="inlineStr">
        <is>
          <t>Bateig Piedra Natural (Alicante)</t>
        </is>
      </c>
      <c r="B60" s="5" t="inlineStr">
        <is>
          <t>competitor</t>
        </is>
      </c>
      <c r="C60" s="2" t="inlineStr">
        <is>
          <t>Hall 9 E9-E10 nel 2025-26; sistema leggero 'Bateig Masonry' (bateig.com)</t>
        </is>
      </c>
      <c r="D60" s="2" t="inlineStr">
        <is>
          <t>Sistema modulare leggero: benchmark sull'alleggerito; possibile partner per facciate.</t>
        </is>
      </c>
    </row>
    <row r="61">
      <c r="A61" s="2" t="inlineStr">
        <is>
          <t>Campolonghi Italia (Montignoso)</t>
        </is>
      </c>
      <c r="B61" s="5" t="inlineStr">
        <is>
          <t>competitor</t>
        </is>
      </c>
      <c r="C61" s="2" t="inlineStr">
        <is>
          <t>Catalogo Marmomac Plus 2026: Hall 6 B2 (marmomacplus.com)</t>
        </is>
      </c>
      <c r="D61" s="2" t="inlineStr">
        <is>
          <t>Grande contractor (facciate, hotel, yacht): benchmark; possibile subfornitura su commesse dove servono finiture boutique.</t>
        </is>
      </c>
    </row>
    <row r="62">
      <c r="A62" s="2" t="inlineStr">
        <is>
          <t>Cereser Marmi (Rivoli Veronese)</t>
        </is>
      </c>
      <c r="B62" s="5" t="inlineStr">
        <is>
          <t>competitor</t>
        </is>
      </c>
      <c r="C62" s="2" t="inlineStr">
        <is>
          <t>Hall 6 B6 nel 2026; BCA special mention 2024 (mz-consulting.org)</t>
        </is>
      </c>
      <c r="D62" s="2" t="inlineStr">
        <is>
          <t>Cave proprie + catalogo lusso: meeting come acquirente; benchmark stand.</t>
        </is>
      </c>
    </row>
    <row r="63">
      <c r="A63" s="2" t="inlineStr">
        <is>
          <t>Citco (Verona)</t>
        </is>
      </c>
      <c r="B63" s="5" t="inlineStr">
        <is>
          <t>competitor</t>
        </is>
      </c>
      <c r="C63" s="2" t="inlineStr">
        <is>
          <t>Highlights Marmomac 2024 (elledecoration.co.uk); assente dal catalogo 2026 – evidenza debole</t>
        </is>
      </c>
      <c r="D63" s="2" t="inlineStr">
        <is>
          <t>Brand di design in marmo: benchmark posizionamento; nessuna azione in fiera se non presente.</t>
        </is>
      </c>
    </row>
    <row r="64">
      <c r="A64" s="2" t="inlineStr">
        <is>
          <t>Elite Stone (Volargne)</t>
        </is>
      </c>
      <c r="B64" s="5" t="inlineStr">
        <is>
          <t>competitor</t>
        </is>
      </c>
      <c r="C64" s="2" t="inlineStr">
        <is>
          <t>Area B B70 nel 2026; highlights Elle Decoration 2024 (elledecoration.co.uk)</t>
        </is>
      </c>
      <c r="D64" s="2" t="inlineStr">
        <is>
          <t>Lastre esotiche di lusso: sourcing onici/verdi; benchmark comunicazione.</t>
        </is>
      </c>
    </row>
    <row r="65">
      <c r="A65" s="2" t="inlineStr">
        <is>
          <t>Favorita (Lonigo)</t>
        </is>
      </c>
      <c r="B65" s="5" t="inlineStr">
        <is>
          <t>competitor</t>
        </is>
      </c>
      <c r="C65" s="2" t="inlineStr">
        <is>
          <t>Hall 6 D7 nel 2025-26 (granitifavorita.com)</t>
        </is>
      </c>
      <c r="D65" s="2" t="inlineStr">
        <is>
          <t>Selezioni premium marmi/quarziti: meeting sourcing (quarziti Taj Mahal, Mont Blanc in catalogo Marmareos).</t>
        </is>
      </c>
    </row>
    <row r="66">
      <c r="A66" s="2" t="inlineStr">
        <is>
          <t>Furrer (Carrara)</t>
        </is>
      </c>
      <c r="B66" s="5" t="inlineStr">
        <is>
          <t>competitor</t>
        </is>
      </c>
      <c r="C66" s="2" t="inlineStr">
        <is>
          <t>Hall 9 B3 nel 2026; Best Communicator Award special mention 2025 (mediakey.it)</t>
        </is>
      </c>
      <c r="D66" s="2" t="inlineStr">
        <is>
          <t>Cave + fabbricazione design-led: meeting sourcing bianchi Carrara; osservare come comunicano la qualità allo stand.</t>
        </is>
      </c>
    </row>
    <row r="67">
      <c r="A67" s="2" t="inlineStr">
        <is>
          <t>GEMEG (Carrara)</t>
        </is>
      </c>
      <c r="B67" s="5" t="inlineStr">
        <is>
          <t>competitor</t>
        </is>
      </c>
      <c r="C67" s="2" t="inlineStr">
        <is>
          <t>Area D 11-12 nel 2026; BCA 2025 film 'Il Capo' nelle cave Gemeg (marmomac.com PDF)</t>
        </is>
      </c>
      <c r="D67" s="2" t="inlineStr">
        <is>
          <t>Cava Carrara con showroom design: sourcing blocchi/lastre; benchmark.</t>
        </is>
      </c>
    </row>
    <row r="68">
      <c r="A68" s="2" t="inlineStr">
        <is>
          <t>Grassi Pietre (Nanto)</t>
        </is>
      </c>
      <c r="B68" s="5" t="inlineStr">
        <is>
          <t>competitor</t>
        </is>
      </c>
      <c r="C68" s="2" t="inlineStr">
        <is>
          <t>Hall 6 C4 nel 2026; Marmomac 2022-25 con installazioni design (grassipietre.com)</t>
        </is>
      </c>
      <c r="D68" s="2" t="inlineStr">
        <is>
          <t>Pietra di Vicenza design-led: le loro installazioni attirano architetti; presidiare lo stand negli orari talk per intercettarli.</t>
        </is>
      </c>
    </row>
    <row r="69">
      <c r="A69" s="2" t="inlineStr">
        <is>
          <t>Gruppo Tosco Marmi (Crevoladossola)</t>
        </is>
      </c>
      <c r="B69" s="5" t="inlineStr">
        <is>
          <t>competitor</t>
        </is>
      </c>
      <c r="C69" s="2" t="inlineStr">
        <is>
          <t>Hall 9 C2 + Avenue E nel 2026; 2022-24 (gruppotoscomarmi.com)</t>
        </is>
      </c>
      <c r="D69" s="2" t="inlineStr">
        <is>
          <t>Cava Palissandro: sourcing; benchmark.</t>
        </is>
      </c>
    </row>
    <row r="70">
      <c r="A70" s="2" t="inlineStr">
        <is>
          <t>Henraux (Querceta)</t>
        </is>
      </c>
      <c r="B70" s="5" t="inlineStr">
        <is>
          <t>competitor</t>
        </is>
      </c>
      <c r="C70" s="2" t="inlineStr">
        <is>
          <t>Solo mostra culturale Hall 10 nel 2024 (stone-ideas.com); non in catalogo 2026</t>
        </is>
      </c>
      <c r="D70" s="2" t="inlineStr">
        <is>
          <t>Benchmark arte/design (Fondazione Henraux); eventuale sourcing Altissimo fuori fiera.</t>
        </is>
      </c>
    </row>
    <row r="71">
      <c r="A71" s="2" t="inlineStr">
        <is>
          <t>I Conci (Fano)</t>
        </is>
      </c>
      <c r="B71" s="5" t="inlineStr">
        <is>
          <t>competitor</t>
        </is>
      </c>
      <c r="C71" s="2" t="inlineStr">
        <is>
          <t>Hall 6 B8 + Area B30 nel 2026; BCA winner 2025 (marmomac.com PDF vincitori)</t>
        </is>
      </c>
      <c r="D71" s="2" t="inlineStr">
        <is>
          <t>Fabbricatore design con stand premiati: studiare l'allestimento; possibile referral su lavorazioni 5 assi complesse.</t>
        </is>
      </c>
    </row>
    <row r="72">
      <c r="A72" s="2" t="inlineStr">
        <is>
          <t>Iktinos Hellas (Atene/Drama)</t>
        </is>
      </c>
      <c r="B72" s="5" t="inlineStr">
        <is>
          <t>competitor</t>
        </is>
      </c>
      <c r="C72" s="2" t="inlineStr">
        <is>
          <t>Hall 9 C1 + Area D3 nel 2026; presenza 20+ anni (stonenews.eu, iktinos.gr)</t>
        </is>
      </c>
      <c r="D72" s="2" t="inlineStr">
        <is>
          <t>Cave greche quotate: sourcing bianchi/grigi; benchmark.</t>
        </is>
      </c>
    </row>
    <row r="73">
      <c r="A73" s="2" t="inlineStr">
        <is>
          <t>Marmi Faedo (Cornedo Vicentino)</t>
        </is>
      </c>
      <c r="B73" s="5" t="inlineStr">
        <is>
          <t>competitor</t>
        </is>
      </c>
      <c r="C73" s="2" t="inlineStr">
        <is>
          <t>Hall 6 C1 nel 2026; annuncio Marmomac 2024 (marmifaedo.com)</t>
        </is>
      </c>
      <c r="D73" s="2" t="inlineStr">
        <is>
          <t>Cave + CNC: benchmark; possibile fornitura pietre vicentine per progetti.</t>
        </is>
      </c>
    </row>
    <row r="74">
      <c r="A74" s="2" t="inlineStr">
        <is>
          <t>Marmi Orobici Graniti (Telgate)</t>
        </is>
      </c>
      <c r="B74" s="5" t="inlineStr">
        <is>
          <t>competitor</t>
        </is>
      </c>
      <c r="C74" s="2" t="inlineStr">
        <is>
          <t>Hall 9 D2 + Area D nel 2026 (marmiorobici.com)</t>
        </is>
      </c>
      <c r="D74" s="2" t="inlineStr">
        <is>
          <t>Marmi rari (Arabescato Orobico) per il mercato Milano: sourcing + osservare il loro presidio Milano.</t>
        </is>
      </c>
    </row>
    <row r="75">
      <c r="A75" s="2" t="inlineStr">
        <is>
          <t>Marmi Scala (Stallavena, VR)</t>
        </is>
      </c>
      <c r="B75" s="5" t="inlineStr">
        <is>
          <t>competitor</t>
        </is>
      </c>
      <c r="C75" s="2" t="inlineStr">
        <is>
          <t>Hall 6 E5 dal 2023 al 2026 (marmiscala.com news)</t>
        </is>
      </c>
      <c r="D75" s="2" t="inlineStr">
        <is>
          <t>Fabbricatore luxury su misura, veronese: benchmark posizionamento e prezzi; scambio su lotti; visitare a fine giornata.</t>
        </is>
      </c>
    </row>
    <row r="76">
      <c r="A76" s="2" t="inlineStr">
        <is>
          <t>Società del Travertino Romano (Guidonia)</t>
        </is>
      </c>
      <c r="B76" s="5" t="inlineStr">
        <is>
          <t>competitor</t>
        </is>
      </c>
      <c r="C76" s="2" t="inlineStr">
        <is>
          <t>Catalogo Marmomac Plus 2026: Hall 6 C6 (marmomacplus.com)</t>
        </is>
      </c>
      <c r="D76" s="2" t="inlineStr">
        <is>
          <t>Travertini = trend 2026: meeting sourcing per i travertini in catalogo Marmareos (Navona, Classico, Noce).</t>
        </is>
      </c>
    </row>
    <row r="77">
      <c r="A77" s="2" t="inlineStr">
        <is>
          <t>Stone Group International (Salonicco)</t>
        </is>
      </c>
      <c r="B77" s="5" t="inlineStr">
        <is>
          <t>competitor</t>
        </is>
      </c>
      <c r="C77" s="2" t="inlineStr">
        <is>
          <t>Hall 6 D2 nel 2026; blog Marmomac 2023-25 (stonegroup.gr)</t>
        </is>
      </c>
      <c r="D77" s="2" t="inlineStr">
        <is>
          <t>Cave greche (Volakas, Thassos in catalogo Marmareos): meeting sourcing; benchmark stand.</t>
        </is>
      </c>
    </row>
    <row r="78">
      <c r="A78" s="2" t="inlineStr">
        <is>
          <t>Testi Group (Rivoli Veronese)</t>
        </is>
      </c>
      <c r="B78" s="5" t="inlineStr">
        <is>
          <t>competitor</t>
        </is>
      </c>
      <c r="C78" s="2" t="inlineStr">
        <is>
          <t>Hall 6 B5 nel 2026; Italian Stone Theatre 2022 (marmomac.com press kit)</t>
        </is>
      </c>
      <c r="D78" s="2" t="inlineStr">
        <is>
          <t>Trader/fabbricatore veronese con grande catalogo: sourcing lastre; benchmark.</t>
        </is>
      </c>
    </row>
    <row r="79">
      <c r="A79" s="2" t="inlineStr">
        <is>
          <t>Tureks – Marble Systems (Afyon)</t>
        </is>
      </c>
      <c r="B79" s="5" t="inlineStr">
        <is>
          <t>competitor</t>
        </is>
      </c>
      <c r="C79" s="2" t="inlineStr">
        <is>
          <t>Hall 12 E6 nel 2026; Hall 12 F6 nel 2025 (tureks.com)</t>
        </is>
      </c>
      <c r="D79" s="2" t="inlineStr">
        <is>
          <t>Travertini e marmi turchi premium: sourcing alternativo; benchmark.</t>
        </is>
      </c>
    </row>
  </sheetData>
  <autoFilter ref="A1:D79"/>
  <dataValidations count="1">
    <dataValidation sqref="B2:B129" showDropDown="0" showInputMessage="0" showErrorMessage="0" allowBlank="0" type="list">
      <formula1>"cliente,partner,competitor"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30" customWidth="1" min="4" max="4"/>
    <col width="32" customWidth="1" min="5" max="5"/>
    <col width="70" customWidth="1" min="6" max="6"/>
  </cols>
  <sheetData>
    <row r="1">
      <c r="A1" s="6" t="inlineStr">
        <is>
          <t>Nome</t>
        </is>
      </c>
      <c r="B1" s="6" t="inlineStr">
        <is>
          <t>Ruolo potenziale</t>
        </is>
      </c>
      <c r="C1" s="6" t="inlineStr">
        <is>
          <t>Priorità (A/B/C)</t>
        </is>
      </c>
      <c r="D1" s="6" t="inlineStr">
        <is>
          <t>Hall / stand 2026</t>
        </is>
      </c>
      <c r="E1" s="6" t="inlineStr">
        <is>
          <t>Contatto pubblico</t>
        </is>
      </c>
      <c r="F1" s="6" t="inlineStr">
        <is>
          <t>Fonte (URL)</t>
        </is>
      </c>
    </row>
    <row r="2">
      <c r="A2" s="2" t="inlineStr">
        <is>
          <t>Davide Fabio Colaci – DFC Studio (Milano)</t>
        </is>
      </c>
      <c r="B2" s="7" t="inlineStr">
        <is>
          <t>cliente</t>
        </is>
      </c>
      <c r="C2" s="2" t="inlineStr">
        <is>
          <t>A</t>
        </is>
      </c>
      <c r="D2" s="2" t="inlineStr">
        <is>
          <t>Hall 10 (The Bedrock)</t>
        </is>
      </c>
      <c r="E2" s="2" t="inlineStr">
        <is>
          <t>Davide Fabio Colaci (curatore, PoliMi)</t>
        </is>
      </c>
      <c r="F2" s="8" t="inlineStr">
        <is>
          <t>https://www.marmomac.com/en/exhibitor/cultural-exhibitions-marmomac-2026/</t>
        </is>
      </c>
    </row>
    <row r="3">
      <c r="A3" s="2" t="inlineStr">
        <is>
          <t>Hannes Peer Architecture (Milano)</t>
        </is>
      </c>
      <c r="B3" s="7" t="inlineStr">
        <is>
          <t>cliente</t>
        </is>
      </c>
      <c r="C3" s="2" t="inlineStr">
        <is>
          <t>A</t>
        </is>
      </c>
      <c r="D3" s="2" t="inlineStr">
        <is>
          <t>via stand Margraf Area I-I1</t>
        </is>
      </c>
      <c r="E3" s="2" t="inlineStr">
        <is>
          <t>Hannes Peer</t>
        </is>
      </c>
      <c r="F3" s="8" t="inlineStr">
        <is>
          <t>https://www.stone-ideas.com/117027/marmomac-2025-natural-stone-influencers/</t>
        </is>
      </c>
    </row>
    <row r="4">
      <c r="A4" s="2" t="inlineStr">
        <is>
          <t>Joseph Grima – Space Caviar / Alcova (Milano)</t>
        </is>
      </c>
      <c r="B4" s="7" t="inlineStr">
        <is>
          <t>cliente</t>
        </is>
      </c>
      <c r="C4" s="2" t="inlineStr">
        <is>
          <t>A</t>
        </is>
      </c>
      <c r="D4" s="2" t="inlineStr">
        <is>
          <t>Hall 10 (The Bedrock)</t>
        </is>
      </c>
      <c r="E4" s="2" t="inlineStr">
        <is>
          <t>Joseph Grima</t>
        </is>
      </c>
      <c r="F4" s="8" t="inlineStr">
        <is>
          <t>https://www.marmomac.com/en/exhibitor/cultural-exhibitions-marmomac-2026/</t>
        </is>
      </c>
    </row>
    <row r="5">
      <c r="A5" s="2" t="inlineStr">
        <is>
          <t>Massimo Adario Architetto (Milano)</t>
        </is>
      </c>
      <c r="B5" s="7" t="inlineStr">
        <is>
          <t>cliente</t>
        </is>
      </c>
      <c r="C5" s="2" t="inlineStr">
        <is>
          <t>A</t>
        </is>
      </c>
      <c r="D5" s="2" t="inlineStr">
        <is>
          <t>—</t>
        </is>
      </c>
      <c r="E5" s="2" t="inlineStr">
        <is>
          <t>Massimo Adario</t>
        </is>
      </c>
      <c r="F5" s="8" t="inlineStr">
        <is>
          <t>https://www.stonenews.eu/daily-don-t-miss-the-best-of-marmomac/</t>
        </is>
      </c>
    </row>
    <row r="6">
      <c r="A6" s="2" t="inlineStr">
        <is>
          <t>THDP – The Hickson Design Partnership (Londra/Milano)</t>
        </is>
      </c>
      <c r="B6" s="7" t="inlineStr">
        <is>
          <t>cliente</t>
        </is>
      </c>
      <c r="C6" s="2" t="inlineStr">
        <is>
          <t>A</t>
        </is>
      </c>
      <c r="D6" s="2" t="inlineStr">
        <is>
          <t>—</t>
        </is>
      </c>
      <c r="E6" s="2" t="inlineStr">
        <is>
          <t>Nicholas J. Hickson</t>
        </is>
      </c>
      <c r="F6" s="8" t="inlineStr">
        <is>
          <t>https://www.stonenews.eu/daily-don-t-miss-the-best-of-marmomac/</t>
        </is>
      </c>
    </row>
    <row r="7">
      <c r="A7" s="2" t="inlineStr">
        <is>
          <t>BUREAU – Zamarbide/Pimenta (Ginevra)</t>
        </is>
      </c>
      <c r="B7" s="7" t="inlineStr">
        <is>
          <t>cliente</t>
        </is>
      </c>
      <c r="C7" s="2" t="inlineStr">
        <is>
          <t>B</t>
        </is>
      </c>
      <c r="D7" s="2" t="inlineStr">
        <is>
          <t>Platform talk Hall 10</t>
        </is>
      </c>
      <c r="E7" s="2" t="inlineStr">
        <is>
          <t>Daniel Zamarbide</t>
        </is>
      </c>
      <c r="F7" s="8" t="inlineStr">
        <is>
          <t>https://www.bureau.ac/lecture-slash-verona-slash-the-soul-of-stone/</t>
        </is>
      </c>
    </row>
    <row r="8">
      <c r="A8" s="2" t="inlineStr">
        <is>
          <t>Calvi Brambilla (Milano)</t>
        </is>
      </c>
      <c r="B8" s="7" t="inlineStr">
        <is>
          <t>cliente</t>
        </is>
      </c>
      <c r="C8" s="2" t="inlineStr">
        <is>
          <t>B</t>
        </is>
      </c>
      <c r="D8" s="2" t="inlineStr">
        <is>
          <t>—</t>
        </is>
      </c>
      <c r="E8" s="2" t="inlineStr">
        <is>
          <t>Fabio Calvi, Paolo Brambilla</t>
        </is>
      </c>
      <c r="F8" s="8" t="inlineStr">
        <is>
          <t>https://www.ifdm.design/2024/09/19/</t>
        </is>
      </c>
    </row>
    <row r="9">
      <c r="A9" s="2" t="inlineStr">
        <is>
          <t>Carl Fredrik Svenstedt Architecte (Parigi)</t>
        </is>
      </c>
      <c r="B9" s="7" t="inlineStr">
        <is>
          <t>cliente</t>
        </is>
      </c>
      <c r="C9" s="2" t="inlineStr">
        <is>
          <t>B</t>
        </is>
      </c>
      <c r="D9" s="2" t="inlineStr">
        <is>
          <t>Platform Speakers Corner Hall 1</t>
        </is>
      </c>
      <c r="E9" s="2" t="inlineStr">
        <is>
          <t>Carl Fredrik Svenstedt</t>
        </is>
      </c>
      <c r="F9" s="8" t="inlineStr">
        <is>
          <t>https://www.platformarchitecture.it/</t>
        </is>
      </c>
    </row>
    <row r="10">
      <c r="A10" s="2" t="inlineStr">
        <is>
          <t>Carlo Ratti Associati (Torino/NY)</t>
        </is>
      </c>
      <c r="B10" s="7" t="inlineStr">
        <is>
          <t>cliente</t>
        </is>
      </c>
      <c r="C10" s="2" t="inlineStr">
        <is>
          <t>B</t>
        </is>
      </c>
      <c r="D10" s="2" t="inlineStr">
        <is>
          <t>Keynote apertura</t>
        </is>
      </c>
      <c r="E10" s="2" t="inlineStr">
        <is>
          <t>Carlo Ratti</t>
        </is>
      </c>
      <c r="F10" s="8" t="inlineStr">
        <is>
          <t>https://www.ifdm.design/2026/07/30/beyond-material-marmomac-at-60/</t>
        </is>
      </c>
    </row>
    <row r="11">
      <c r="A11" s="2" t="inlineStr">
        <is>
          <t>Elisa Ossino Studio (Milano)</t>
        </is>
      </c>
      <c r="B11" s="7" t="inlineStr">
        <is>
          <t>cliente</t>
        </is>
      </c>
      <c r="C11" s="2" t="inlineStr">
        <is>
          <t>B</t>
        </is>
      </c>
      <c r="D11" s="2" t="inlineStr">
        <is>
          <t>—</t>
        </is>
      </c>
      <c r="E11" s="2" t="inlineStr">
        <is>
          <t>Elisa Ossino</t>
        </is>
      </c>
      <c r="F11" s="8" t="inlineStr">
        <is>
          <t>https://www.stonenews.eu/daily-don-t-miss-the-best-of-marmomac/</t>
        </is>
      </c>
    </row>
    <row r="12">
      <c r="A12" s="2" t="inlineStr">
        <is>
          <t>Foster + Partners (Londra)</t>
        </is>
      </c>
      <c r="B12" s="7" t="inlineStr">
        <is>
          <t>cliente</t>
        </is>
      </c>
      <c r="C12" s="2" t="inlineStr">
        <is>
          <t>B</t>
        </is>
      </c>
      <c r="D12" s="2" t="inlineStr">
        <is>
          <t>Hall 10 (Fallacara)</t>
        </is>
      </c>
      <c r="E12" s="2" t="inlineStr">
        <is>
          <t>Fabio Tellia (associate)</t>
        </is>
      </c>
      <c r="F12" s="8" t="inlineStr">
        <is>
          <t>https://www.stone-ideas.com/115216/marmomac-meets-academies-la-foresta-incantata/</t>
        </is>
      </c>
    </row>
    <row r="13">
      <c r="A13" s="2" t="inlineStr">
        <is>
          <t>Giuliano Andrea dell'Uva Architetti (Napoli)</t>
        </is>
      </c>
      <c r="B13" s="7" t="inlineStr">
        <is>
          <t>cliente</t>
        </is>
      </c>
      <c r="C13" s="2" t="inlineStr">
        <is>
          <t>B</t>
        </is>
      </c>
      <c r="D13" s="2" t="inlineStr">
        <is>
          <t>—</t>
        </is>
      </c>
      <c r="E13" s="2" t="inlineStr">
        <is>
          <t>Giuliano Andrea dell'Uva</t>
        </is>
      </c>
      <c r="F13" s="8" t="inlineStr">
        <is>
          <t>https://www.stonenews.eu/daily-don-t-miss-the-best-of-marmomac/</t>
        </is>
      </c>
    </row>
    <row r="14">
      <c r="A14" s="2" t="inlineStr">
        <is>
          <t>Nenmar (Londra)</t>
        </is>
      </c>
      <c r="B14" s="7" t="inlineStr">
        <is>
          <t>cliente</t>
        </is>
      </c>
      <c r="C14" s="2" t="inlineStr">
        <is>
          <t>B</t>
        </is>
      </c>
      <c r="D14" s="2" t="inlineStr">
        <is>
          <t>—</t>
        </is>
      </c>
      <c r="E14" s="2" t="inlineStr">
        <is>
          <t>—</t>
        </is>
      </c>
      <c r="F14" s="8" t="inlineStr">
        <is>
          <t>https://www.nenmar.com/studio/</t>
        </is>
      </c>
    </row>
    <row r="15">
      <c r="A15" s="2" t="inlineStr">
        <is>
          <t>Ross Lovegrove (Londra)</t>
        </is>
      </c>
      <c r="B15" s="7" t="inlineStr">
        <is>
          <t>cliente</t>
        </is>
      </c>
      <c r="C15" s="2" t="inlineStr">
        <is>
          <t>B</t>
        </is>
      </c>
      <c r="D15" s="2" t="inlineStr">
        <is>
          <t>Verona centro (Marmomac &amp; The City)</t>
        </is>
      </c>
      <c r="E15" s="2" t="inlineStr">
        <is>
          <t>Ross Lovegrove</t>
        </is>
      </c>
      <c r="F15" s="8" t="inlineStr">
        <is>
          <t>https://www.ifdm.design/2026/07/30/beyond-material-marmomac-at-60/</t>
        </is>
      </c>
    </row>
    <row r="16">
      <c r="A16" s="2" t="inlineStr">
        <is>
          <t>Schiattarella Associati (Roma)</t>
        </is>
      </c>
      <c r="B16" s="7" t="inlineStr">
        <is>
          <t>cliente</t>
        </is>
      </c>
      <c r="C16" s="2" t="inlineStr">
        <is>
          <t>B</t>
        </is>
      </c>
      <c r="D16" s="2" t="inlineStr">
        <is>
          <t>Plus Theatre / cerimonia premio</t>
        </is>
      </c>
      <c r="E16" s="2" t="inlineStr">
        <is>
          <t>Amedeo Schiattarella</t>
        </is>
      </c>
      <c r="F16" s="8" t="inlineStr">
        <is>
          <t>https://www.dedalominosse.org/ita/2025_eventi.php</t>
        </is>
      </c>
    </row>
    <row r="17">
      <c r="A17" s="2" t="inlineStr">
        <is>
          <t>Studiopepe (Milano)</t>
        </is>
      </c>
      <c r="B17" s="7" t="inlineStr">
        <is>
          <t>cliente</t>
        </is>
      </c>
      <c r="C17" s="2" t="inlineStr">
        <is>
          <t>B</t>
        </is>
      </c>
      <c r="D17" s="2" t="inlineStr">
        <is>
          <t>—</t>
        </is>
      </c>
      <c r="E17" s="2" t="inlineStr">
        <is>
          <t>Arianna Lelli Mami, Chiara Di Pinto</t>
        </is>
      </c>
      <c r="F17" s="8" t="inlineStr">
        <is>
          <t>https://www.marmomac.com/en/the-italian-stone-theatre-en/architects-and-designers/</t>
        </is>
      </c>
    </row>
    <row r="18">
      <c r="A18" s="2" t="inlineStr">
        <is>
          <t>The Stonemasonry Company (UK)</t>
        </is>
      </c>
      <c r="B18" s="7" t="inlineStr">
        <is>
          <t>cliente</t>
        </is>
      </c>
      <c r="C18" s="2" t="inlineStr">
        <is>
          <t>B</t>
        </is>
      </c>
      <c r="D18" s="2" t="inlineStr">
        <is>
          <t>Hall 10 (Meets Academies)</t>
        </is>
      </c>
      <c r="E18" s="2" t="inlineStr">
        <is>
          <t>—</t>
        </is>
      </c>
      <c r="F18" s="8" t="inlineStr">
        <is>
          <t>https://www.stone-ideas.com/115216/marmomac-meets-academies-la-foresta-incantata/</t>
        </is>
      </c>
    </row>
    <row r="19">
      <c r="A19" s="2" t="inlineStr">
        <is>
          <t>Arup (Londra)</t>
        </is>
      </c>
      <c r="B19" s="7" t="inlineStr">
        <is>
          <t>cliente</t>
        </is>
      </c>
      <c r="C19" s="2" t="inlineStr">
        <is>
          <t>C</t>
        </is>
      </c>
      <c r="D19" s="2" t="inlineStr">
        <is>
          <t>Hall 10 (Meets Academies)</t>
        </is>
      </c>
      <c r="E19" s="2" t="inlineStr">
        <is>
          <t>—</t>
        </is>
      </c>
      <c r="F19" s="8" t="inlineStr">
        <is>
          <t>https://www.stone-ideas.com/115216/marmomac-meets-academies-la-foresta-incantata/</t>
        </is>
      </c>
    </row>
    <row r="20">
      <c r="A20" s="2" t="inlineStr">
        <is>
          <t>CCD Cheng Chung Design (Shenzhen/HK)</t>
        </is>
      </c>
      <c r="B20" s="7" t="inlineStr">
        <is>
          <t>cliente</t>
        </is>
      </c>
      <c r="C20" s="2" t="inlineStr">
        <is>
          <t>C</t>
        </is>
      </c>
      <c r="D20" s="2" t="inlineStr">
        <is>
          <t>—</t>
        </is>
      </c>
      <c r="E20" s="2" t="inlineStr">
        <is>
          <t>—</t>
        </is>
      </c>
      <c r="F20" s="8" t="inlineStr">
        <is>
          <t>https://www.stoneworld.com/articles/94149-international-designers-</t>
        </is>
      </c>
    </row>
    <row r="21">
      <c r="A21" s="2" t="inlineStr">
        <is>
          <t>Claudio Nardi Architects (Firenze)</t>
        </is>
      </c>
      <c r="B21" s="7" t="inlineStr">
        <is>
          <t>cliente</t>
        </is>
      </c>
      <c r="C21" s="2" t="inlineStr">
        <is>
          <t>C</t>
        </is>
      </c>
      <c r="D21" s="2" t="inlineStr">
        <is>
          <t>Verona centro (Marmomac &amp; The City)</t>
        </is>
      </c>
      <c r="E21" s="2" t="inlineStr">
        <is>
          <t>Claudio Nardi</t>
        </is>
      </c>
      <c r="F21" s="8" t="inlineStr">
        <is>
          <t>https://www.mediakey.it/</t>
        </is>
      </c>
    </row>
    <row r="22">
      <c r="A22" s="2" t="inlineStr">
        <is>
          <t>Diriyah Company (Riyadh)</t>
        </is>
      </c>
      <c r="B22" s="7" t="inlineStr">
        <is>
          <t>cliente</t>
        </is>
      </c>
      <c r="C22" s="2" t="inlineStr">
        <is>
          <t>C</t>
        </is>
      </c>
      <c r="D22" s="2" t="inlineStr">
        <is>
          <t>—</t>
        </is>
      </c>
      <c r="E22" s="2" t="inlineStr">
        <is>
          <t>Jerry Inzerillo (Group CEO)</t>
        </is>
      </c>
      <c r="F22" s="8" t="inlineStr">
        <is>
          <t>https://www.archiproducts.com/it/notizie/premio-dedalo-minosse-2025-</t>
        </is>
      </c>
    </row>
    <row r="23">
      <c r="A23" s="2" t="inlineStr">
        <is>
          <t>Fran Silvestre Arquitectos (Valencia)</t>
        </is>
      </c>
      <c r="B23" s="7" t="inlineStr">
        <is>
          <t>cliente</t>
        </is>
      </c>
      <c r="C23" s="2" t="inlineStr">
        <is>
          <t>C</t>
        </is>
      </c>
      <c r="D23" s="2" t="inlineStr">
        <is>
          <t>—</t>
        </is>
      </c>
      <c r="E23" s="2" t="inlineStr">
        <is>
          <t>Fran Silvestre</t>
        </is>
      </c>
      <c r="F23" s="8" t="inlineStr">
        <is>
          <t>https://www.platformarchitecture.it/</t>
        </is>
      </c>
    </row>
    <row r="24">
      <c r="A24" s="2" t="inlineStr">
        <is>
          <t>Guinet Derriaz (Francia)</t>
        </is>
      </c>
      <c r="B24" s="7" t="inlineStr">
        <is>
          <t>cliente</t>
        </is>
      </c>
      <c r="C24" s="2" t="inlineStr">
        <is>
          <t>C</t>
        </is>
      </c>
      <c r="D24" s="2" t="inlineStr">
        <is>
          <t>da verificare</t>
        </is>
      </c>
      <c r="E24" s="2" t="inlineStr">
        <is>
          <t>—</t>
        </is>
      </c>
      <c r="F24" s="8" t="inlineStr">
        <is>
          <t>https://drylayout.com/articles/elenco-espositori-marmomac-2022</t>
        </is>
      </c>
    </row>
    <row r="25">
      <c r="A25" s="2" t="inlineStr">
        <is>
          <t>Henry Timi (Milano)</t>
        </is>
      </c>
      <c r="B25" s="7" t="inlineStr">
        <is>
          <t>cliente</t>
        </is>
      </c>
      <c r="C25" s="2" t="inlineStr">
        <is>
          <t>C</t>
        </is>
      </c>
      <c r="D25" s="2" t="inlineStr">
        <is>
          <t>—</t>
        </is>
      </c>
      <c r="E25" s="2" t="inlineStr">
        <is>
          <t>Henry Timi</t>
        </is>
      </c>
      <c r="F25" s="8" t="inlineStr">
        <is>
          <t>https://www.mz-consulting.org/news/2117/</t>
        </is>
      </c>
    </row>
    <row r="26">
      <c r="A26" s="2" t="inlineStr">
        <is>
          <t>Mario Botta Architetti (Mendrisio)</t>
        </is>
      </c>
      <c r="B26" s="7" t="inlineStr">
        <is>
          <t>cliente</t>
        </is>
      </c>
      <c r="C26" s="2" t="inlineStr">
        <is>
          <t>C</t>
        </is>
      </c>
      <c r="D26" s="2" t="inlineStr">
        <is>
          <t>—</t>
        </is>
      </c>
      <c r="E26" s="2" t="inlineStr">
        <is>
          <t>—</t>
        </is>
      </c>
      <c r="F26" s="8" t="inlineStr">
        <is>
          <t>https://www.platformarchitecture.it/la-cultura-del-marmo-a-marmomac-2023/</t>
        </is>
      </c>
    </row>
    <row r="27">
      <c r="A27" s="2" t="inlineStr">
        <is>
          <t>Stoneline (Londra)</t>
        </is>
      </c>
      <c r="B27" s="7" t="inlineStr">
        <is>
          <t>cliente</t>
        </is>
      </c>
      <c r="C27" s="2" t="inlineStr">
        <is>
          <t>C</t>
        </is>
      </c>
      <c r="D27" s="2" t="inlineStr">
        <is>
          <t>da verificare</t>
        </is>
      </c>
      <c r="E27" s="2" t="inlineStr">
        <is>
          <t>—</t>
        </is>
      </c>
      <c r="F27" s="8" t="inlineStr">
        <is>
          <t>https://www.stoneline.co.uk/marmomac/</t>
        </is>
      </c>
    </row>
    <row r="28">
      <c r="A28" s="2" t="inlineStr">
        <is>
          <t>Confindustria Marmomacchine – 'Casa Italia'</t>
        </is>
      </c>
      <c r="B28" s="9" t="inlineStr">
        <is>
          <t>partner</t>
        </is>
      </c>
      <c r="C28" s="2" t="inlineStr">
        <is>
          <t>A</t>
        </is>
      </c>
      <c r="D28" s="2" t="inlineStr">
        <is>
          <t>Hall 2 C3; Hall 11 A2</t>
        </is>
      </c>
      <c r="E28" s="2" t="inlineStr">
        <is>
          <t>Flavio Marabelli (Pres. onorario)</t>
        </is>
      </c>
      <c r="F28" s="8" t="inlineStr">
        <is>
          <t>https://www.marmomacchineinternational.com/en/confindustria-marmomacchine-a-marmomac-2025/</t>
        </is>
      </c>
    </row>
    <row r="29">
      <c r="A29" s="2" t="inlineStr">
        <is>
          <t>Donatoni Macchine – Stone Week (Domegliara)</t>
        </is>
      </c>
      <c r="B29" s="9" t="inlineStr">
        <is>
          <t>partner</t>
        </is>
      </c>
      <c r="C29" s="2" t="inlineStr">
        <is>
          <t>A</t>
        </is>
      </c>
      <c r="D29" s="2" t="inlineStr">
        <is>
          <t>Sede Donatoni (fuori fiera)</t>
        </is>
      </c>
      <c r="E29" s="2" t="inlineStr">
        <is>
          <t>sales@donatonigroup.com</t>
        </is>
      </c>
      <c r="F29" s="8" t="inlineStr">
        <is>
          <t>https://www.focuspiedra.com/donatoni-celebrara-una-semana-de-puertas-abiertas-en-su-sede-del-21-al-26-de-septiembre/</t>
        </is>
      </c>
    </row>
    <row r="30">
      <c r="A30" s="2" t="inlineStr">
        <is>
          <t>Elle Decor Italia / ELLE Decoration UK</t>
        </is>
      </c>
      <c r="B30" s="9" t="inlineStr">
        <is>
          <t>partner</t>
        </is>
      </c>
      <c r="C30" s="2" t="inlineStr">
        <is>
          <t>A</t>
        </is>
      </c>
      <c r="D30" s="2" t="inlineStr">
        <is>
          <t>Hall 1</t>
        </is>
      </c>
      <c r="E30" s="2" t="inlineStr">
        <is>
          <t>Livia Peraldo Matton; Ben Spriggs</t>
        </is>
      </c>
      <c r="F30" s="8" t="inlineStr">
        <is>
          <t>https://www.elledecoration.co.uk/</t>
        </is>
      </c>
    </row>
    <row r="31">
      <c r="A31" s="2" t="inlineStr">
        <is>
          <t>ICE-Agenzia / Veronafiere Incoming Buyers</t>
        </is>
      </c>
      <c r="B31" s="9" t="inlineStr">
        <is>
          <t>partner</t>
        </is>
      </c>
      <c r="C31" s="2" t="inlineStr">
        <is>
          <t>A</t>
        </is>
      </c>
      <c r="D31" s="2" t="inlineStr">
        <is>
          <t>—</t>
        </is>
      </c>
      <c r="E31" s="2" t="inlineStr">
        <is>
          <t>Valeria Santolin (Veronafiere); Antonio Lucarelli (ICE)</t>
        </is>
      </c>
      <c r="F31" s="8" t="inlineStr">
        <is>
          <t>https://www.aefi.it/it/news/pietra-naturale-con-marmomac-2024-obiettivo-stati-uniti/</t>
        </is>
      </c>
    </row>
    <row r="32">
      <c r="A32" s="2" t="inlineStr">
        <is>
          <t>Platform Architecture &amp; Design (Milano)</t>
        </is>
      </c>
      <c r="B32" s="9" t="inlineStr">
        <is>
          <t>partner</t>
        </is>
      </c>
      <c r="C32" s="2" t="inlineStr">
        <is>
          <t>A</t>
        </is>
      </c>
      <c r="D32" s="2" t="inlineStr">
        <is>
          <t>Speakers Corner Hall 1 / Hall 10</t>
        </is>
      </c>
      <c r="E32" s="2" t="inlineStr">
        <is>
          <t>redazione Platform</t>
        </is>
      </c>
      <c r="F32" s="8" t="inlineStr">
        <is>
          <t>https://www.platformarchitecture.it/marmomac-2024/?lang=en</t>
        </is>
      </c>
    </row>
    <row r="33">
      <c r="A33" s="2" t="inlineStr">
        <is>
          <t>Prussiani Engineering (Albano S. Alessandro)</t>
        </is>
      </c>
      <c r="B33" s="9" t="inlineStr">
        <is>
          <t>partner</t>
        </is>
      </c>
      <c r="C33" s="2" t="inlineStr">
        <is>
          <t>A</t>
        </is>
      </c>
      <c r="D33" s="2" t="inlineStr">
        <is>
          <t>Hall 3 A15/A31-B24/B40</t>
        </is>
      </c>
      <c r="E33" s="2" t="inlineStr">
        <is>
          <t>Mario Giorgio Prussiani</t>
        </is>
      </c>
      <c r="F33" s="8" t="inlineStr">
        <is>
          <t>https://www.focuspiedra.com/</t>
        </is>
      </c>
    </row>
    <row r="34">
      <c r="A34" s="2" t="inlineStr">
        <is>
          <t>Starcell – Honeycomb &amp; Composite Panels (Milano)</t>
        </is>
      </c>
      <c r="B34" s="9" t="inlineStr">
        <is>
          <t>partner</t>
        </is>
      </c>
      <c r="C34" s="2" t="inlineStr">
        <is>
          <t>A</t>
        </is>
      </c>
      <c r="D34" s="2" t="inlineStr">
        <is>
          <t>Hall 7 G5</t>
        </is>
      </c>
      <c r="E34" s="2" t="inlineStr">
        <is>
          <t>—</t>
        </is>
      </c>
      <c r="F34" s="8" t="inlineStr">
        <is>
          <t>https://marmomacplus.com/en/companies</t>
        </is>
      </c>
    </row>
    <row r="35">
      <c r="A35" s="2" t="inlineStr">
        <is>
          <t>Veronafiere – The Bedrock (mostre culturali 2026)</t>
        </is>
      </c>
      <c r="B35" s="9" t="inlineStr">
        <is>
          <t>partner</t>
        </is>
      </c>
      <c r="C35" s="2" t="inlineStr">
        <is>
          <t>A</t>
        </is>
      </c>
      <c r="D35" s="2" t="inlineStr">
        <is>
          <t>Hall 10</t>
        </is>
      </c>
      <c r="E35" s="2" t="inlineStr">
        <is>
          <t>Patrizia Più, +39 045 8298214</t>
        </is>
      </c>
      <c r="F35" s="8" t="inlineStr">
        <is>
          <t>https://www.marmomac.com/en/exhibitor/cultural-exhibitions-marmomac-2026/</t>
        </is>
      </c>
    </row>
    <row r="36">
      <c r="A36" s="2" t="inlineStr">
        <is>
          <t>ADI Delegazione Veneto e Trentino Alto Adige</t>
        </is>
      </c>
      <c r="B36" s="9" t="inlineStr">
        <is>
          <t>partner</t>
        </is>
      </c>
      <c r="C36" s="2" t="inlineStr">
        <is>
          <t>B</t>
        </is>
      </c>
      <c r="D36" s="2" t="inlineStr">
        <is>
          <t>Hall 10</t>
        </is>
      </c>
      <c r="E36" s="2" t="inlineStr">
        <is>
          <t>Carlo Trevisani, Silvia Dandini</t>
        </is>
      </c>
      <c r="F36" s="8" t="inlineStr">
        <is>
          <t>https://www.marmomac.com/en/events/the-plus-theatre/</t>
        </is>
      </c>
    </row>
    <row r="37">
      <c r="A37" s="2" t="inlineStr">
        <is>
          <t>Breton – Experience Week</t>
        </is>
      </c>
      <c r="B37" s="9" t="inlineStr">
        <is>
          <t>partner</t>
        </is>
      </c>
      <c r="C37" s="2" t="inlineStr">
        <is>
          <t>B</t>
        </is>
      </c>
      <c r="D37" s="2" t="inlineStr">
        <is>
          <t>Hall 2 C2</t>
        </is>
      </c>
      <c r="E37" s="2" t="inlineStr">
        <is>
          <t>Alessandro Parolin (referente)</t>
        </is>
      </c>
      <c r="F37" s="8" t="inlineStr">
        <is>
          <t>https://www.breton.it/en_na/news-and-events/marmomac</t>
        </is>
      </c>
    </row>
    <row r="38">
      <c r="A38" s="2" t="inlineStr">
        <is>
          <t>DDX Software Solutions – EasySTONE</t>
        </is>
      </c>
      <c r="B38" s="9" t="inlineStr">
        <is>
          <t>partner</t>
        </is>
      </c>
      <c r="C38" s="2" t="inlineStr">
        <is>
          <t>B</t>
        </is>
      </c>
      <c r="D38" s="2" t="inlineStr">
        <is>
          <t>Hall 3 C21/C29</t>
        </is>
      </c>
      <c r="E38" s="2" t="inlineStr">
        <is>
          <t>Adriana Vella (referente)</t>
        </is>
      </c>
      <c r="F38" s="8" t="inlineStr">
        <is>
          <t>https://www.ddxgroup.com/en/2025/10/10/ddx-at-marmomac-2025-our-experience-at-the-fair/</t>
        </is>
      </c>
    </row>
    <row r="39">
      <c r="A39" s="2" t="inlineStr">
        <is>
          <t>Dedalo Minosse / ALA Assoarchitetti (Vicenza)</t>
        </is>
      </c>
      <c r="B39" s="9" t="inlineStr">
        <is>
          <t>partner</t>
        </is>
      </c>
      <c r="C39" s="2" t="inlineStr">
        <is>
          <t>B</t>
        </is>
      </c>
      <c r="D39" s="2" t="inlineStr">
        <is>
          <t>Plus Theatre</t>
        </is>
      </c>
      <c r="E39" s="2" t="inlineStr">
        <is>
          <t>—</t>
        </is>
      </c>
      <c r="F39" s="8" t="inlineStr">
        <is>
          <t>https://www.dedalominosse.org/ita/2025_eventi.php</t>
        </is>
      </c>
    </row>
    <row r="40">
      <c r="A40" s="2" t="inlineStr">
        <is>
          <t>Leica Geosystems / Hexagon</t>
        </is>
      </c>
      <c r="B40" s="9" t="inlineStr">
        <is>
          <t>partner</t>
        </is>
      </c>
      <c r="C40" s="2" t="inlineStr">
        <is>
          <t>B</t>
        </is>
      </c>
      <c r="D40" s="2" t="inlineStr">
        <is>
          <t>Hall 5 G1-G2</t>
        </is>
      </c>
      <c r="E40" s="2" t="inlineStr">
        <is>
          <t>Lucia Ferrari (referente)</t>
        </is>
      </c>
      <c r="F40" s="8" t="inlineStr">
        <is>
          <t>https://marmomacplus.com/en/companies</t>
        </is>
      </c>
    </row>
    <row r="41">
      <c r="A41" s="2" t="inlineStr">
        <is>
          <t>Pietra Naturale Autentica – PNA</t>
        </is>
      </c>
      <c r="B41" s="9" t="inlineStr">
        <is>
          <t>partner</t>
        </is>
      </c>
      <c r="C41" s="2" t="inlineStr">
        <is>
          <t>B</t>
        </is>
      </c>
      <c r="D41" s="2" t="inlineStr">
        <is>
          <t>Hall 11 C3-D3</t>
        </is>
      </c>
      <c r="E41" s="2" t="inlineStr">
        <is>
          <t>Stefano Ghirardi (presidente)</t>
        </is>
      </c>
      <c r="F41" s="8" t="inlineStr">
        <is>
          <t>https://marmomacplus.com/en/companies</t>
        </is>
      </c>
    </row>
    <row r="42">
      <c r="A42" s="2" t="inlineStr">
        <is>
          <t>Prodim – Proliner (Helmond, NL)</t>
        </is>
      </c>
      <c r="B42" s="9" t="inlineStr">
        <is>
          <t>partner</t>
        </is>
      </c>
      <c r="C42" s="2" t="inlineStr">
        <is>
          <t>B</t>
        </is>
      </c>
      <c r="D42" s="2" t="inlineStr">
        <is>
          <t>Hall 5 D4</t>
        </is>
      </c>
      <c r="E42" s="2" t="inlineStr">
        <is>
          <t>Prodim Sales</t>
        </is>
      </c>
      <c r="F42" s="8" t="inlineStr">
        <is>
          <t>https://www.prodim-systems.com/prodim/exhibitions/prodim-exhibiting-at-marmomac-2026/</t>
        </is>
      </c>
    </row>
    <row r="43">
      <c r="A43" s="2" t="inlineStr">
        <is>
          <t>Thibaut (Vire, Francia)</t>
        </is>
      </c>
      <c r="B43" s="9" t="inlineStr">
        <is>
          <t>partner</t>
        </is>
      </c>
      <c r="C43" s="2" t="inlineStr">
        <is>
          <t>B</t>
        </is>
      </c>
      <c r="D43" s="2" t="inlineStr">
        <is>
          <t>Hall 4 G2-G3</t>
        </is>
      </c>
      <c r="E43" s="2" t="inlineStr">
        <is>
          <t>Baptiste Lebouteiller</t>
        </is>
      </c>
      <c r="F43" s="8" t="inlineStr">
        <is>
          <t>https://www.thibaut.fr/en/marmomac-2025-verona/</t>
        </is>
      </c>
    </row>
    <row r="44">
      <c r="A44" s="2" t="inlineStr">
        <is>
          <t>FILA Solutions</t>
        </is>
      </c>
      <c r="B44" s="9" t="inlineStr">
        <is>
          <t>partner</t>
        </is>
      </c>
      <c r="C44" s="2" t="inlineStr">
        <is>
          <t>C</t>
        </is>
      </c>
      <c r="D44" s="2" t="inlineStr">
        <is>
          <t>Hall 7 C6</t>
        </is>
      </c>
      <c r="E44" s="2" t="inlineStr">
        <is>
          <t>Danny Zancanaro (referente)</t>
        </is>
      </c>
      <c r="F44" s="8" t="inlineStr">
        <is>
          <t>https://www.filasolutions.com/eng/press-area/news/</t>
        </is>
      </c>
    </row>
    <row r="45">
      <c r="A45" s="2" t="inlineStr">
        <is>
          <t>Ganmar – Sistema Flot / Vent</t>
        </is>
      </c>
      <c r="B45" s="9" t="inlineStr">
        <is>
          <t>partner</t>
        </is>
      </c>
      <c r="C45" s="2" t="inlineStr">
        <is>
          <t>C</t>
        </is>
      </c>
      <c r="D45" s="2" t="inlineStr">
        <is>
          <t>da verificare (non in catalogo 2026)</t>
        </is>
      </c>
      <c r="E45" s="2" t="inlineStr">
        <is>
          <t>—</t>
        </is>
      </c>
      <c r="F45" s="8" t="inlineStr">
        <is>
          <t>https://www.ganmar.it/en/marmomac-2024-the-walk-of-stone/</t>
        </is>
      </c>
    </row>
    <row r="46">
      <c r="A46" s="2" t="inlineStr">
        <is>
          <t>Gramazio Kohler Research – ETH Zürich</t>
        </is>
      </c>
      <c r="B46" s="9" t="inlineStr">
        <is>
          <t>partner</t>
        </is>
      </c>
      <c r="C46" s="2" t="inlineStr">
        <is>
          <t>C</t>
        </is>
      </c>
      <c r="D46" s="2" t="inlineStr">
        <is>
          <t>Hall 10</t>
        </is>
      </c>
      <c r="E46" s="2" t="inlineStr">
        <is>
          <t>Pietro Odaglia</t>
        </is>
      </c>
      <c r="F46" s="8" t="inlineStr">
        <is>
          <t>https://www.stone-ideas.com/115216/marmomac-meets-academies-la-foresta-incantata/</t>
        </is>
      </c>
    </row>
    <row r="47">
      <c r="A47" s="2" t="inlineStr">
        <is>
          <t>Litix – Robotor (Carrara)</t>
        </is>
      </c>
      <c r="B47" s="9" t="inlineStr">
        <is>
          <t>partner</t>
        </is>
      </c>
      <c r="C47" s="2" t="inlineStr">
        <is>
          <t>C</t>
        </is>
      </c>
      <c r="D47" s="2" t="inlineStr">
        <is>
          <t>Hall 5 F6-F7</t>
        </is>
      </c>
      <c r="E47" s="2" t="inlineStr">
        <is>
          <t>Roberto Antichi (referente)</t>
        </is>
      </c>
      <c r="F47" s="8" t="inlineStr">
        <is>
          <t>https://marmomacplus.com/en/companies</t>
        </is>
      </c>
    </row>
    <row r="48">
      <c r="A48" s="2" t="inlineStr">
        <is>
          <t>SNBR (Francia)</t>
        </is>
      </c>
      <c r="B48" s="9" t="inlineStr">
        <is>
          <t>partner</t>
        </is>
      </c>
      <c r="C48" s="2" t="inlineStr">
        <is>
          <t>C</t>
        </is>
      </c>
      <c r="D48" s="2" t="inlineStr">
        <is>
          <t>Hall 10</t>
        </is>
      </c>
      <c r="E48" s="2" t="inlineStr">
        <is>
          <t>—</t>
        </is>
      </c>
      <c r="F48" s="8" t="inlineStr">
        <is>
          <t>https://www.stone-ideas.com/115216/marmomac-meets-academies-la-foresta-incantata/</t>
        </is>
      </c>
    </row>
    <row r="49">
      <c r="A49" s="2" t="inlineStr">
        <is>
          <t>Taglio – CAD/CAM + SlabVision</t>
        </is>
      </c>
      <c r="B49" s="9" t="inlineStr">
        <is>
          <t>partner</t>
        </is>
      </c>
      <c r="C49" s="2" t="inlineStr">
        <is>
          <t>C</t>
        </is>
      </c>
      <c r="D49" s="2" t="inlineStr">
        <is>
          <t>Hall 3 A6/A10</t>
        </is>
      </c>
      <c r="E49" s="2" t="inlineStr">
        <is>
          <t>Fabio Braghin (referente)</t>
        </is>
      </c>
      <c r="F49" s="8" t="inlineStr">
        <is>
          <t>https://marmomacplus.com/en/companies</t>
        </is>
      </c>
    </row>
    <row r="50">
      <c r="A50" s="2" t="inlineStr">
        <is>
          <t>Tenax (Volargne)</t>
        </is>
      </c>
      <c r="B50" s="9" t="inlineStr">
        <is>
          <t>partner</t>
        </is>
      </c>
      <c r="C50" s="2" t="inlineStr">
        <is>
          <t>C</t>
        </is>
      </c>
      <c r="D50" s="2" t="inlineStr">
        <is>
          <t>Hall 7 D4-D5</t>
        </is>
      </c>
      <c r="E50" s="2" t="inlineStr">
        <is>
          <t>—</t>
        </is>
      </c>
      <c r="F50" s="8" t="inlineStr">
        <is>
          <t>https://www.tenax.it/en/t-magazine/marmomac-2025-2/</t>
        </is>
      </c>
    </row>
    <row r="51">
      <c r="A51" s="2" t="inlineStr">
        <is>
          <t>Antolini Luigi &amp; C. (Sega di Cavaion)</t>
        </is>
      </c>
      <c r="B51" s="10" t="inlineStr">
        <is>
          <t>competitor</t>
        </is>
      </c>
      <c r="C51" s="2" t="inlineStr">
        <is>
          <t>A</t>
        </is>
      </c>
      <c r="D51" s="2" t="inlineStr">
        <is>
          <t>Area A 15-16</t>
        </is>
      </c>
      <c r="E51" s="2" t="inlineStr">
        <is>
          <t>Alberto Antolini (CEO)</t>
        </is>
      </c>
      <c r="F51" s="8" t="inlineStr">
        <is>
          <t>https://www.antolini.com/en/event/marmomac-2025</t>
        </is>
      </c>
    </row>
    <row r="52">
      <c r="A52" s="2" t="inlineStr">
        <is>
          <t>Margraf (Chiampo)</t>
        </is>
      </c>
      <c r="B52" s="10" t="inlineStr">
        <is>
          <t>competitor</t>
        </is>
      </c>
      <c r="C52" s="2" t="inlineStr">
        <is>
          <t>A</t>
        </is>
      </c>
      <c r="D52" s="2" t="inlineStr">
        <is>
          <t>Area I-I1</t>
        </is>
      </c>
      <c r="E52" s="2" t="inlineStr">
        <is>
          <t>Chiara De Luca (referente)</t>
        </is>
      </c>
      <c r="F52" s="8" t="inlineStr">
        <is>
          <t>https://www.margraf-usa.com/marmomac-2025-explore-margrafs-endless-journey-into-natural-stone/</t>
        </is>
      </c>
    </row>
    <row r="53">
      <c r="A53" s="2" t="inlineStr">
        <is>
          <t>Nikolaus Bagnara (Appiano, BZ)</t>
        </is>
      </c>
      <c r="B53" s="10" t="inlineStr">
        <is>
          <t>competitor</t>
        </is>
      </c>
      <c r="C53" s="2" t="inlineStr">
        <is>
          <t>A</t>
        </is>
      </c>
      <c r="D53" s="2" t="inlineStr">
        <is>
          <t>Hall 6 B3</t>
        </is>
      </c>
      <c r="E53" s="2" t="inlineStr">
        <is>
          <t>Hannes Pfeifer (referente)</t>
        </is>
      </c>
      <c r="F53" s="8" t="inlineStr">
        <is>
          <t>https://www.bagnara.net/en/now/press-releases/</t>
        </is>
      </c>
    </row>
    <row r="54">
      <c r="A54" s="2" t="inlineStr">
        <is>
          <t>Carat Diffusion (Monaco)</t>
        </is>
      </c>
      <c r="B54" s="10" t="inlineStr">
        <is>
          <t>competitor</t>
        </is>
      </c>
      <c r="C54" s="2" t="inlineStr">
        <is>
          <t>B</t>
        </is>
      </c>
      <c r="D54" s="2" t="inlineStr">
        <is>
          <t>—</t>
        </is>
      </c>
      <c r="E54" s="2" t="inlineStr">
        <is>
          <t>—</t>
        </is>
      </c>
      <c r="F54" s="8" t="inlineStr">
        <is>
          <t>https://carat-diffusion.com/</t>
        </is>
      </c>
    </row>
    <row r="55">
      <c r="A55" s="2" t="inlineStr">
        <is>
          <t>Franchi Umberto Marmi – FUM (Carrara)</t>
        </is>
      </c>
      <c r="B55" s="10" t="inlineStr">
        <is>
          <t>competitor</t>
        </is>
      </c>
      <c r="C55" s="2" t="inlineStr">
        <is>
          <t>B</t>
        </is>
      </c>
      <c r="D55" s="2" t="inlineStr">
        <is>
          <t>Hall 9 C14</t>
        </is>
      </c>
      <c r="E55" s="2" t="inlineStr">
        <is>
          <t>Alberto Franchi (Pres.&amp;CEO)</t>
        </is>
      </c>
      <c r="F55" s="8" t="inlineStr">
        <is>
          <t>https://www.fum.it/tag/marmomac/</t>
        </is>
      </c>
    </row>
    <row r="56">
      <c r="A56" s="2" t="inlineStr">
        <is>
          <t>Ghirardi Italian Stone Contractor (Carpenedolo)</t>
        </is>
      </c>
      <c r="B56" s="10" t="inlineStr">
        <is>
          <t>competitor</t>
        </is>
      </c>
      <c r="C56" s="2" t="inlineStr">
        <is>
          <t>B</t>
        </is>
      </c>
      <c r="D56" s="2" t="inlineStr">
        <is>
          <t>Hall 6 C2</t>
        </is>
      </c>
      <c r="E56" s="2" t="inlineStr">
        <is>
          <t>Anna Ghirardi (referente)</t>
        </is>
      </c>
      <c r="F56" s="8" t="inlineStr">
        <is>
          <t>https://marmomacplus.com/en/companies</t>
        </is>
      </c>
    </row>
    <row r="57">
      <c r="A57" s="2" t="inlineStr">
        <is>
          <t>Lasa Marmo (Lasa, BZ)</t>
        </is>
      </c>
      <c r="B57" s="10" t="inlineStr">
        <is>
          <t>competitor</t>
        </is>
      </c>
      <c r="C57" s="2" t="inlineStr">
        <is>
          <t>B</t>
        </is>
      </c>
      <c r="D57" s="2" t="inlineStr">
        <is>
          <t>Hall 6 E2</t>
        </is>
      </c>
      <c r="E57" s="2" t="inlineStr">
        <is>
          <t>—</t>
        </is>
      </c>
      <c r="F57" s="8" t="inlineStr">
        <is>
          <t>https://marmomacplus.com/en/companies</t>
        </is>
      </c>
    </row>
    <row r="58">
      <c r="A58" s="2" t="inlineStr">
        <is>
          <t>Savema (Pietrasanta)</t>
        </is>
      </c>
      <c r="B58" s="10" t="inlineStr">
        <is>
          <t>competitor</t>
        </is>
      </c>
      <c r="C58" s="2" t="inlineStr">
        <is>
          <t>B</t>
        </is>
      </c>
      <c r="D58" s="2" t="inlineStr">
        <is>
          <t>Hall 9 C6</t>
        </is>
      </c>
      <c r="E58" s="2" t="inlineStr">
        <is>
          <t>—</t>
        </is>
      </c>
      <c r="F58" s="8" t="inlineStr">
        <is>
          <t>https://marmomacplus.com/en/companies</t>
        </is>
      </c>
    </row>
    <row r="59">
      <c r="A59" s="2" t="inlineStr">
        <is>
          <t>Akdag Onyx (Elazığ)</t>
        </is>
      </c>
      <c r="B59" s="10" t="inlineStr">
        <is>
          <t>competitor</t>
        </is>
      </c>
      <c r="C59" s="2" t="inlineStr">
        <is>
          <t>C</t>
        </is>
      </c>
      <c r="D59" s="2" t="inlineStr">
        <is>
          <t>Hall 9 E7</t>
        </is>
      </c>
      <c r="E59" s="2" t="inlineStr">
        <is>
          <t>—</t>
        </is>
      </c>
      <c r="F59" s="8" t="inlineStr">
        <is>
          <t>https://marmomacplus.com/en/companies</t>
        </is>
      </c>
    </row>
    <row r="60">
      <c r="A60" s="2" t="inlineStr">
        <is>
          <t>Bateig Piedra Natural (Alicante)</t>
        </is>
      </c>
      <c r="B60" s="10" t="inlineStr">
        <is>
          <t>competitor</t>
        </is>
      </c>
      <c r="C60" s="2" t="inlineStr">
        <is>
          <t>C</t>
        </is>
      </c>
      <c r="D60" s="2" t="inlineStr">
        <is>
          <t>Hall 9 E9-E10</t>
        </is>
      </c>
      <c r="E60" s="2" t="inlineStr">
        <is>
          <t>—</t>
        </is>
      </c>
      <c r="F60" s="8" t="inlineStr">
        <is>
          <t>https://www.bateig.com/en/blog/</t>
        </is>
      </c>
    </row>
    <row r="61">
      <c r="A61" s="2" t="inlineStr">
        <is>
          <t>Campolonghi Italia (Montignoso)</t>
        </is>
      </c>
      <c r="B61" s="10" t="inlineStr">
        <is>
          <t>competitor</t>
        </is>
      </c>
      <c r="C61" s="2" t="inlineStr">
        <is>
          <t>C</t>
        </is>
      </c>
      <c r="D61" s="2" t="inlineStr">
        <is>
          <t>Hall 6 B2</t>
        </is>
      </c>
      <c r="E61" s="2" t="inlineStr">
        <is>
          <t>—</t>
        </is>
      </c>
      <c r="F61" s="8" t="inlineStr">
        <is>
          <t>https://marmomacplus.com/en/companies</t>
        </is>
      </c>
    </row>
    <row r="62">
      <c r="A62" s="2" t="inlineStr">
        <is>
          <t>Cereser Marmi (Rivoli Veronese)</t>
        </is>
      </c>
      <c r="B62" s="10" t="inlineStr">
        <is>
          <t>competitor</t>
        </is>
      </c>
      <c r="C62" s="2" t="inlineStr">
        <is>
          <t>C</t>
        </is>
      </c>
      <c r="D62" s="2" t="inlineStr">
        <is>
          <t>Hall 6 B6</t>
        </is>
      </c>
      <c r="E62" s="2" t="inlineStr">
        <is>
          <t>—</t>
        </is>
      </c>
      <c r="F62" s="8" t="inlineStr">
        <is>
          <t>https://www.mz-consulting.org/news/2129/</t>
        </is>
      </c>
    </row>
    <row r="63">
      <c r="A63" s="2" t="inlineStr">
        <is>
          <t>Citco (Verona)</t>
        </is>
      </c>
      <c r="B63" s="10" t="inlineStr">
        <is>
          <t>competitor</t>
        </is>
      </c>
      <c r="C63" s="2" t="inlineStr">
        <is>
          <t>C</t>
        </is>
      </c>
      <c r="D63" s="2" t="inlineStr">
        <is>
          <t>non in catalogo 2026</t>
        </is>
      </c>
      <c r="E63" s="2" t="inlineStr">
        <is>
          <t>—</t>
        </is>
      </c>
      <c r="F63" s="8" t="inlineStr">
        <is>
          <t>https://www.elledecoration.co.uk/</t>
        </is>
      </c>
    </row>
    <row r="64">
      <c r="A64" s="2" t="inlineStr">
        <is>
          <t>Elite Stone (Volargne)</t>
        </is>
      </c>
      <c r="B64" s="10" t="inlineStr">
        <is>
          <t>competitor</t>
        </is>
      </c>
      <c r="C64" s="2" t="inlineStr">
        <is>
          <t>C</t>
        </is>
      </c>
      <c r="D64" s="2" t="inlineStr">
        <is>
          <t>Area B B70</t>
        </is>
      </c>
      <c r="E64" s="2" t="inlineStr">
        <is>
          <t>—</t>
        </is>
      </c>
      <c r="F64" s="8" t="inlineStr">
        <is>
          <t>https://www.elledecoration.co.uk/</t>
        </is>
      </c>
    </row>
    <row r="65">
      <c r="A65" s="2" t="inlineStr">
        <is>
          <t>Favorita (Lonigo)</t>
        </is>
      </c>
      <c r="B65" s="10" t="inlineStr">
        <is>
          <t>competitor</t>
        </is>
      </c>
      <c r="C65" s="2" t="inlineStr">
        <is>
          <t>C</t>
        </is>
      </c>
      <c r="D65" s="2" t="inlineStr">
        <is>
          <t>Hall 6 D7</t>
        </is>
      </c>
      <c r="E65" s="2" t="inlineStr">
        <is>
          <t>Giovanni Conterno</t>
        </is>
      </c>
      <c r="F65" s="8" t="inlineStr">
        <is>
          <t>https://www.granitifavorita.com/en/news/</t>
        </is>
      </c>
    </row>
    <row r="66">
      <c r="A66" s="2" t="inlineStr">
        <is>
          <t>Furrer (Carrara)</t>
        </is>
      </c>
      <c r="B66" s="10" t="inlineStr">
        <is>
          <t>competitor</t>
        </is>
      </c>
      <c r="C66" s="2" t="inlineStr">
        <is>
          <t>C</t>
        </is>
      </c>
      <c r="D66" s="2" t="inlineStr">
        <is>
          <t>Hall 9 B3</t>
        </is>
      </c>
      <c r="E66" s="2" t="inlineStr">
        <is>
          <t>Paolo Mazzi (GM)</t>
        </is>
      </c>
      <c r="F66" s="8" t="inlineStr">
        <is>
          <t>https://www.mediakey.it/news/furrer-s-p-a-premiata-al-marmomac-2025-con-il-best-communicator-award-iusve/</t>
        </is>
      </c>
    </row>
    <row r="67">
      <c r="A67" s="2" t="inlineStr">
        <is>
          <t>GEMEG (Carrara)</t>
        </is>
      </c>
      <c r="B67" s="10" t="inlineStr">
        <is>
          <t>competitor</t>
        </is>
      </c>
      <c r="C67" s="2" t="inlineStr">
        <is>
          <t>C</t>
        </is>
      </c>
      <c r="D67" s="2" t="inlineStr">
        <is>
          <t>Area D 11-12</t>
        </is>
      </c>
      <c r="E67" s="2" t="inlineStr">
        <is>
          <t>Franco Soldati</t>
        </is>
      </c>
      <c r="F67" s="8" t="inlineStr">
        <is>
          <t>https://marmomacplus.com/en/companies</t>
        </is>
      </c>
    </row>
    <row r="68">
      <c r="A68" s="2" t="inlineStr">
        <is>
          <t>Grassi Pietre (Nanto)</t>
        </is>
      </c>
      <c r="B68" s="10" t="inlineStr">
        <is>
          <t>competitor</t>
        </is>
      </c>
      <c r="C68" s="2" t="inlineStr">
        <is>
          <t>C</t>
        </is>
      </c>
      <c r="D68" s="2" t="inlineStr">
        <is>
          <t>Hall 6 C4</t>
        </is>
      </c>
      <c r="E68" s="2" t="inlineStr">
        <is>
          <t>Francesco Grassi</t>
        </is>
      </c>
      <c r="F68" s="8" t="inlineStr">
        <is>
          <t>https://www.grassipietre.com/marmomac-2023/</t>
        </is>
      </c>
    </row>
    <row r="69">
      <c r="A69" s="2" t="inlineStr">
        <is>
          <t>Gruppo Tosco Marmi (Crevoladossola)</t>
        </is>
      </c>
      <c r="B69" s="10" t="inlineStr">
        <is>
          <t>competitor</t>
        </is>
      </c>
      <c r="C69" s="2" t="inlineStr">
        <is>
          <t>C</t>
        </is>
      </c>
      <c r="D69" s="2" t="inlineStr">
        <is>
          <t>Hall 9 C2</t>
        </is>
      </c>
      <c r="E69" s="2" t="inlineStr">
        <is>
          <t>—</t>
        </is>
      </c>
      <c r="F69" s="8" t="inlineStr">
        <is>
          <t>https://www.gruppotoscomarmi.com/marmomac-2024/?lang=en</t>
        </is>
      </c>
    </row>
    <row r="70">
      <c r="A70" s="2" t="inlineStr">
        <is>
          <t>Henraux (Querceta)</t>
        </is>
      </c>
      <c r="B70" s="10" t="inlineStr">
        <is>
          <t>competitor</t>
        </is>
      </c>
      <c r="C70" s="2" t="inlineStr">
        <is>
          <t>C</t>
        </is>
      </c>
      <c r="D70" s="2" t="inlineStr">
        <is>
          <t>non in catalogo 2026</t>
        </is>
      </c>
      <c r="E70" s="2" t="inlineStr">
        <is>
          <t>—</t>
        </is>
      </c>
      <c r="F70" s="8" t="inlineStr">
        <is>
          <t>https://www.stone-ideas.com/107583/marmomac-journey-to-the-centre-of-the-table-2024/</t>
        </is>
      </c>
    </row>
    <row r="71">
      <c r="A71" s="2" t="inlineStr">
        <is>
          <t>I Conci (Fano)</t>
        </is>
      </c>
      <c r="B71" s="10" t="inlineStr">
        <is>
          <t>competitor</t>
        </is>
      </c>
      <c r="C71" s="2" t="inlineStr">
        <is>
          <t>C</t>
        </is>
      </c>
      <c r="D71" s="2" t="inlineStr">
        <is>
          <t>Hall 6 B8</t>
        </is>
      </c>
      <c r="E71" s="2" t="inlineStr">
        <is>
          <t>—</t>
        </is>
      </c>
      <c r="F71" s="8" t="inlineStr">
        <is>
          <t>https://marmomacplus.com/en/companies</t>
        </is>
      </c>
    </row>
    <row r="72">
      <c r="A72" s="2" t="inlineStr">
        <is>
          <t>Iktinos Hellas (Atene/Drama)</t>
        </is>
      </c>
      <c r="B72" s="10" t="inlineStr">
        <is>
          <t>competitor</t>
        </is>
      </c>
      <c r="C72" s="2" t="inlineStr">
        <is>
          <t>C</t>
        </is>
      </c>
      <c r="D72" s="2" t="inlineStr">
        <is>
          <t>Hall 9 C1</t>
        </is>
      </c>
      <c r="E72" s="2" t="inlineStr">
        <is>
          <t>Evangelos Chaidas (CEO)</t>
        </is>
      </c>
      <c r="F72" s="8" t="inlineStr">
        <is>
          <t>https://www.stonenews.eu/</t>
        </is>
      </c>
    </row>
    <row r="73">
      <c r="A73" s="2" t="inlineStr">
        <is>
          <t>Marmi Faedo (Cornedo Vicentino)</t>
        </is>
      </c>
      <c r="B73" s="10" t="inlineStr">
        <is>
          <t>competitor</t>
        </is>
      </c>
      <c r="C73" s="2" t="inlineStr">
        <is>
          <t>C</t>
        </is>
      </c>
      <c r="D73" s="2" t="inlineStr">
        <is>
          <t>Hall 6 C1</t>
        </is>
      </c>
      <c r="E73" s="2" t="inlineStr">
        <is>
          <t>—</t>
        </is>
      </c>
      <c r="F73" s="8" t="inlineStr">
        <is>
          <t>https://www.marmifaedo.com/</t>
        </is>
      </c>
    </row>
    <row r="74">
      <c r="A74" s="2" t="inlineStr">
        <is>
          <t>Marmi Orobici Graniti (Telgate)</t>
        </is>
      </c>
      <c r="B74" s="10" t="inlineStr">
        <is>
          <t>competitor</t>
        </is>
      </c>
      <c r="C74" s="2" t="inlineStr">
        <is>
          <t>C</t>
        </is>
      </c>
      <c r="D74" s="2" t="inlineStr">
        <is>
          <t>Hall 9 D2</t>
        </is>
      </c>
      <c r="E74" s="2" t="inlineStr">
        <is>
          <t>—</t>
        </is>
      </c>
      <c r="F74" s="8" t="inlineStr">
        <is>
          <t>https://www.marmiorobici.com/whats-new/marmomac-2026/</t>
        </is>
      </c>
    </row>
    <row r="75">
      <c r="A75" s="2" t="inlineStr">
        <is>
          <t>Marmi Scala (Stallavena, VR)</t>
        </is>
      </c>
      <c r="B75" s="10" t="inlineStr">
        <is>
          <t>competitor</t>
        </is>
      </c>
      <c r="C75" s="2" t="inlineStr">
        <is>
          <t>C</t>
        </is>
      </c>
      <c r="D75" s="2" t="inlineStr">
        <is>
          <t>Hall 6 E5</t>
        </is>
      </c>
      <c r="E75" s="2" t="inlineStr">
        <is>
          <t>—</t>
        </is>
      </c>
      <c r="F75" s="8" t="inlineStr">
        <is>
          <t>https://www.marmiscala.com/en/Company/News/</t>
        </is>
      </c>
    </row>
    <row r="76">
      <c r="A76" s="2" t="inlineStr">
        <is>
          <t>Società del Travertino Romano (Guidonia)</t>
        </is>
      </c>
      <c r="B76" s="10" t="inlineStr">
        <is>
          <t>competitor</t>
        </is>
      </c>
      <c r="C76" s="2" t="inlineStr">
        <is>
          <t>C</t>
        </is>
      </c>
      <c r="D76" s="2" t="inlineStr">
        <is>
          <t>Hall 6 C6</t>
        </is>
      </c>
      <c r="E76" s="2" t="inlineStr">
        <is>
          <t>—</t>
        </is>
      </c>
      <c r="F76" s="8" t="inlineStr">
        <is>
          <t>https://marmomacplus.com/en/companies</t>
        </is>
      </c>
    </row>
    <row r="77">
      <c r="A77" s="2" t="inlineStr">
        <is>
          <t>Stone Group International (Salonicco)</t>
        </is>
      </c>
      <c r="B77" s="10" t="inlineStr">
        <is>
          <t>competitor</t>
        </is>
      </c>
      <c r="C77" s="2" t="inlineStr">
        <is>
          <t>C</t>
        </is>
      </c>
      <c r="D77" s="2" t="inlineStr">
        <is>
          <t>Hall 6 D2</t>
        </is>
      </c>
      <c r="E77" s="2" t="inlineStr">
        <is>
          <t>Ioannis Antoniadis</t>
        </is>
      </c>
      <c r="F77" s="8" t="inlineStr">
        <is>
          <t>https://www.stonegroup.gr/blog/stone-group-international-at-marmomac-2025/</t>
        </is>
      </c>
    </row>
    <row r="78">
      <c r="A78" s="2" t="inlineStr">
        <is>
          <t>Testi Group (Rivoli Veronese)</t>
        </is>
      </c>
      <c r="B78" s="10" t="inlineStr">
        <is>
          <t>competitor</t>
        </is>
      </c>
      <c r="C78" s="2" t="inlineStr">
        <is>
          <t>C</t>
        </is>
      </c>
      <c r="D78" s="2" t="inlineStr">
        <is>
          <t>Hall 6 B5</t>
        </is>
      </c>
      <c r="E78" s="2" t="inlineStr">
        <is>
          <t>—</t>
        </is>
      </c>
      <c r="F78" s="8" t="inlineStr">
        <is>
          <t>https://marmomacplus.com/en/companies</t>
        </is>
      </c>
    </row>
    <row r="79">
      <c r="A79" s="2" t="inlineStr">
        <is>
          <t>Tureks – Marble Systems (Afyon)</t>
        </is>
      </c>
      <c r="B79" s="10" t="inlineStr">
        <is>
          <t>competitor</t>
        </is>
      </c>
      <c r="C79" s="2" t="inlineStr">
        <is>
          <t>C</t>
        </is>
      </c>
      <c r="D79" s="2" t="inlineStr">
        <is>
          <t>Hall 12 E6</t>
        </is>
      </c>
      <c r="E79" s="2" t="inlineStr">
        <is>
          <t>İsmail Paksoy (Europe sales)</t>
        </is>
      </c>
      <c r="F79" s="8" t="inlineStr">
        <is>
          <t>https://www.tureks.com/marmomac-2025/</t>
        </is>
      </c>
    </row>
  </sheetData>
  <autoFilter ref="A1:F7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Riepilogo target Marmomac 2026 (Verona, 22–25 settembre 2026)</t>
        </is>
      </c>
    </row>
    <row r="3">
      <c r="A3" s="12" t="inlineStr">
        <is>
          <t>Ruolo</t>
        </is>
      </c>
      <c r="B3" s="12" t="inlineStr">
        <is>
          <t>N. target</t>
        </is>
      </c>
      <c r="C3" s="12" t="inlineStr">
        <is>
          <t>di cui priorità A</t>
        </is>
      </c>
    </row>
    <row r="4">
      <c r="A4" s="13" t="inlineStr">
        <is>
          <t>cliente</t>
        </is>
      </c>
      <c r="B4" s="13">
        <f>COUNTIF('Target Marmomac 2026'!$B$2:$B$79,A4)</f>
        <v/>
      </c>
      <c r="C4" s="13">
        <f>COUNTIFS('Dettagli &amp; fonti'!$B$2:$B$79,A4,'Dettagli &amp; fonti'!$C$2:$C$79,"A")</f>
        <v/>
      </c>
    </row>
    <row r="5">
      <c r="A5" s="13" t="inlineStr">
        <is>
          <t>partner</t>
        </is>
      </c>
      <c r="B5" s="13">
        <f>COUNTIF('Target Marmomac 2026'!$B$2:$B$79,A5)</f>
        <v/>
      </c>
      <c r="C5" s="13">
        <f>COUNTIFS('Dettagli &amp; fonti'!$B$2:$B$79,A5,'Dettagli &amp; fonti'!$C$2:$C$79,"A")</f>
        <v/>
      </c>
    </row>
    <row r="6">
      <c r="A6" s="13" t="inlineStr">
        <is>
          <t>competitor</t>
        </is>
      </c>
      <c r="B6" s="13">
        <f>COUNTIF('Target Marmomac 2026'!$B$2:$B$79,A6)</f>
        <v/>
      </c>
      <c r="C6" s="13">
        <f>COUNTIFS('Dettagli &amp; fonti'!$B$2:$B$79,A6,'Dettagli &amp; fonti'!$C$2:$C$79,"A")</f>
        <v/>
      </c>
    </row>
    <row r="7">
      <c r="A7" s="14" t="inlineStr">
        <is>
          <t>Totale</t>
        </is>
      </c>
      <c r="B7" s="13">
        <f>SUM(B4:B6)</f>
        <v/>
      </c>
      <c r="C7" s="13">
        <f>SUM(C4:C6)</f>
        <v/>
      </c>
    </row>
    <row r="8">
      <c r="A8" s="15" t="inlineStr"/>
    </row>
    <row r="9" ht="45" customHeight="1">
      <c r="A9" s="16" t="inlineStr">
        <is>
          <t>Legenda</t>
        </is>
      </c>
    </row>
    <row r="10" ht="45" customHeight="1">
      <c r="A10" s="15" t="inlineStr">
        <is>
          <t>Ruolo potenziale: cliente = prescrittore/committente/contractor/distributore che può comprare o specificare; partner = chi può ospitarci, presentarci o co-vendere; competitor = fabbricatori/cave sovrapposti (spesso anche fornitori di lastre: in fiera si incontrano come acquirenti).</t>
        </is>
      </c>
    </row>
    <row r="11" ht="45" customHeight="1">
      <c r="A11" s="15" t="inlineStr">
        <is>
          <t>Priorità (foglio 'Dettagli &amp; fonti'): A = fissare meeting prima della fiera; B = agganciare in fiera; C = visita/benchmark se c'è tempo.</t>
        </is>
      </c>
    </row>
    <row r="12" ht="45" customHeight="1">
      <c r="A12" s="15" t="inlineStr">
        <is>
          <t>Evidence: fonte sintetica (&lt;100 caratteri). URL completi nel foglio 'Dettagli &amp; fonti'.</t>
        </is>
      </c>
    </row>
    <row r="13" ht="45" customHeight="1">
      <c r="A13" s="15" t="inlineStr">
        <is>
          <t>Fonti principali: catalogo ufficiale Marmomac Plus 2026 (marmomacplus.com, 1.110 espositori, verificato 2/9/2026); press kit Marmomac 2022/2024/2025; stone-ideas.com, stonenews.eu, platformarchitecture.it, focuspiedra.com; brain Marmareos (DOSSIER, WP-05 Piano Fiere).</t>
        </is>
      </c>
    </row>
    <row r="14" ht="45" customHeight="1">
      <c r="A14" s="15" t="inlineStr">
        <is>
          <t>Attenzione: i nomi hall/stand 2026 possono cambiare fino all'apertura; ricontrollare su marmomacplus.com la settimana prima. Le evidenze marcate 'debole' o 'da verificare' vanno confermate prima dell'outreach.</t>
        </is>
      </c>
    </row>
    <row r="15" ht="45" customHeight="1">
      <c r="A15" s="15" t="inlineStr">
        <is>
          <t>ICP di riferimento (brain Marmareos): developer luxury, studi di architettura, interior designer (incl. yacht), contractor premium; mercati Monaco/Costa Azzurra → Milano → IT/EN.</t>
        </is>
      </c>
    </row>
  </sheetData>
  <mergeCells count="8">
    <mergeCell ref="A11:F11"/>
    <mergeCell ref="A10:F10"/>
    <mergeCell ref="A13:F13"/>
    <mergeCell ref="A14:F14"/>
    <mergeCell ref="A9:F9"/>
    <mergeCell ref="A8:F8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2026-09-02T21:18:27Z</dcterms:created>
  <dcterms:modified xmlns:dcterms="http://purl.org/dc/terms/" xmlns:xsi="http://www.w3.org/2001/XMLSchema-instance" xsi:type="dcterms:W3CDTF">2026-09-02T21:18:28Z</dcterms:modified>
</cp:coreProperties>
</file>